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<sst xmlns="http://schemas.openxmlformats.org/spreadsheetml/2006/main" count="1746" uniqueCount="1228">
  <si>
    <t>A</t>
  </si>
  <si>
    <t>B-D</t>
  </si>
  <si>
    <t>F</t>
  </si>
  <si>
    <t>G</t>
  </si>
  <si>
    <t>H</t>
  </si>
  <si>
    <t>ID</t>
  </si>
  <si>
    <t>ImmuneScore_estimate</t>
  </si>
  <si>
    <t>B_cells_quantiseq</t>
  </si>
  <si>
    <t>Macrophages_M1_quantiseq</t>
  </si>
  <si>
    <t>Macrophages_M2_quantiseq</t>
  </si>
  <si>
    <t>Monocytes_quantiseq</t>
  </si>
  <si>
    <t>Neutrophils_quantiseq</t>
  </si>
  <si>
    <t>NK_cells_quantiseq</t>
  </si>
  <si>
    <t>T_cells_CD4_quantiseq</t>
  </si>
  <si>
    <t>T_cells_CD8_quantiseq</t>
  </si>
  <si>
    <t>Tregs_quantiseq</t>
  </si>
  <si>
    <t>Dendritic_cells_quantiseq</t>
  </si>
  <si>
    <t>Other_quantiseq</t>
  </si>
  <si>
    <t>CA1</t>
  </si>
  <si>
    <t>CA2</t>
  </si>
  <si>
    <t>Group</t>
  </si>
  <si>
    <t>Immune_Checkpoint_Score</t>
  </si>
  <si>
    <t>CL_PCA</t>
  </si>
  <si>
    <t>1023.32768978017</t>
  </si>
  <si>
    <t>0.044378422980474</t>
  </si>
  <si>
    <t>0.03863519211066</t>
  </si>
  <si>
    <t>0.0617613855036976</t>
  </si>
  <si>
    <t>0.0463494566202265</t>
  </si>
  <si>
    <t>0.0120335677134962</t>
  </si>
  <si>
    <t>0.0220992204679924</t>
  </si>
  <si>
    <t>0.0702417625003917</t>
  </si>
  <si>
    <t>0.00768350685042414</t>
  </si>
  <si>
    <t>0.0204699831389933</t>
  </si>
  <si>
    <t>0.676347502113644</t>
  </si>
  <si>
    <t>HCJ_PCA</t>
  </si>
  <si>
    <t>1117.24506110046</t>
  </si>
  <si>
    <t>0.0174675353174605</t>
  </si>
  <si>
    <t>0.116490564211303</t>
  </si>
  <si>
    <t>0.0422202668148554</t>
  </si>
  <si>
    <t>0.112235494956435</t>
  </si>
  <si>
    <t>0.0155047598350779</t>
  </si>
  <si>
    <t>0.0803378732083103</t>
  </si>
  <si>
    <t>0.0139576876707099</t>
  </si>
  <si>
    <t>0.018161771703644</t>
  </si>
  <si>
    <t>0.583624046282205</t>
  </si>
  <si>
    <t>0.0776566044174035</t>
  </si>
  <si>
    <t>HYM_PCA</t>
  </si>
  <si>
    <t>1497.81164388986</t>
  </si>
  <si>
    <t>0.055537793841565</t>
  </si>
  <si>
    <t>0.10666025304147</t>
  </si>
  <si>
    <t>0.0504455756486482</t>
  </si>
  <si>
    <t>0.0756180162077922</t>
  </si>
  <si>
    <t>0.0231975506151695</t>
  </si>
  <si>
    <t>0.030689717218018</t>
  </si>
  <si>
    <t>0.00799379414578068</t>
  </si>
  <si>
    <t>0.0184505113311617</t>
  </si>
  <si>
    <t>0.631406787950395</t>
  </si>
  <si>
    <t>JYL_PCA</t>
  </si>
  <si>
    <t>1824.71288032793</t>
  </si>
  <si>
    <t>0.0477854098332838</t>
  </si>
  <si>
    <t>0.127268410467164</t>
  </si>
  <si>
    <t>0.0737756506414895</t>
  </si>
  <si>
    <t>0.0895882666644199</t>
  </si>
  <si>
    <t>0.0195914211536489</t>
  </si>
  <si>
    <t>0.06197686575118</t>
  </si>
  <si>
    <t>0.0297051562181398</t>
  </si>
  <si>
    <t>0.0179670817074103</t>
  </si>
  <si>
    <t>0.532341737563264</t>
  </si>
  <si>
    <t>0.608240749161365</t>
  </si>
  <si>
    <t>LRM_PCA</t>
  </si>
  <si>
    <t>997.219739838182</t>
  </si>
  <si>
    <t>0.0253774393831078</t>
  </si>
  <si>
    <t>0.0981518825526336</t>
  </si>
  <si>
    <t>0.0684987778809093</t>
  </si>
  <si>
    <t>0.128517190682265</t>
  </si>
  <si>
    <t>0.0198707020073893</t>
  </si>
  <si>
    <t>0.0984241562816435</t>
  </si>
  <si>
    <t>0.00842501915558589</t>
  </si>
  <si>
    <t>0.0199936935199883</t>
  </si>
  <si>
    <t>0.532741138536477</t>
  </si>
  <si>
    <t>LSM_PCA</t>
  </si>
  <si>
    <t>826.044381949671</t>
  </si>
  <si>
    <t>0.0139601753048292</t>
  </si>
  <si>
    <t>0.0700168840867013</t>
  </si>
  <si>
    <t>0.0640557841582875</t>
  </si>
  <si>
    <t>0.111983578801822</t>
  </si>
  <si>
    <t>0.0228761566310296</t>
  </si>
  <si>
    <t>0.0585986395376371</t>
  </si>
  <si>
    <t>0.00567784945877617</t>
  </si>
  <si>
    <t>0.0130660136280035</t>
  </si>
  <si>
    <t>0.639764918392913</t>
  </si>
  <si>
    <t>0.31985305581618</t>
  </si>
  <si>
    <t>LXY_PCA</t>
  </si>
  <si>
    <t>1352.76951228917</t>
  </si>
  <si>
    <t>0.0380686798333359</t>
  </si>
  <si>
    <t>0.0866244415166016</t>
  </si>
  <si>
    <t>0.0567622496602711</t>
  </si>
  <si>
    <t>0.0878175693711536</t>
  </si>
  <si>
    <t>0.0115181700629618</t>
  </si>
  <si>
    <t>0.0623159595517974</t>
  </si>
  <si>
    <t>0.0228011025062523</t>
  </si>
  <si>
    <t>0.0128604208046662</t>
  </si>
  <si>
    <t>0.62123140669296</t>
  </si>
  <si>
    <t>0.213271081416225</t>
  </si>
  <si>
    <t>LYM_PCA</t>
  </si>
  <si>
    <t>1197.25682234969</t>
  </si>
  <si>
    <t>0.0299948723162209</t>
  </si>
  <si>
    <t>0.121994026955381</t>
  </si>
  <si>
    <t>0.03398543354495</t>
  </si>
  <si>
    <t>0.05980394912958</t>
  </si>
  <si>
    <t>0.0162021179054695</t>
  </si>
  <si>
    <t>0.0788931729994643</t>
  </si>
  <si>
    <t>0.0190732542968348</t>
  </si>
  <si>
    <t>0.0193231202867999</t>
  </si>
  <si>
    <t>0.620730052565299</t>
  </si>
  <si>
    <t>0.183369672480575</t>
  </si>
  <si>
    <t>MXN_PCA</t>
  </si>
  <si>
    <t>1250.94125934243</t>
  </si>
  <si>
    <t>0.0156778764609148</t>
  </si>
  <si>
    <t>0.0914505057182017</t>
  </si>
  <si>
    <t>0.0502030954247936</t>
  </si>
  <si>
    <t>0.132092826530111</t>
  </si>
  <si>
    <t>0.0168556721343404</t>
  </si>
  <si>
    <t>0.0633215595091643</t>
  </si>
  <si>
    <t>0.0120880540561476</t>
  </si>
  <si>
    <t>0.0131223727155818</t>
  </si>
  <si>
    <t>0.605188037450745</t>
  </si>
  <si>
    <t>SCJ_PCA</t>
  </si>
  <si>
    <t>917.116523200062</t>
  </si>
  <si>
    <t>0.0207497631708963</t>
  </si>
  <si>
    <t>0.0978713207591369</t>
  </si>
  <si>
    <t>0.0516884308783839</t>
  </si>
  <si>
    <t>0.104177944450517</t>
  </si>
  <si>
    <t>0.0188546505047688</t>
  </si>
  <si>
    <t>0.10400731984197</t>
  </si>
  <si>
    <t>0.00771312062388339</t>
  </si>
  <si>
    <t>0.0190449645522324</t>
  </si>
  <si>
    <t>0.575892485218212</t>
  </si>
  <si>
    <t>0.523640210956307</t>
  </si>
  <si>
    <t>SGL_PCA</t>
  </si>
  <si>
    <t>1087.00004964043</t>
  </si>
  <si>
    <t>0.0186652022233311</t>
  </si>
  <si>
    <t>0.131680499407062</t>
  </si>
  <si>
    <t>0.0523376960227286</t>
  </si>
  <si>
    <t>0.130156045994364</t>
  </si>
  <si>
    <t>0.0133094629471311</t>
  </si>
  <si>
    <t>0.0945954241573769</t>
  </si>
  <si>
    <t>0.0179123441092391</t>
  </si>
  <si>
    <t>0.0172772340221395</t>
  </si>
  <si>
    <t>0.524066091116627</t>
  </si>
  <si>
    <t>0.331953040305282</t>
  </si>
  <si>
    <t>SML_PCA</t>
  </si>
  <si>
    <t>952.613119313757</t>
  </si>
  <si>
    <t>0.0176441392481712</t>
  </si>
  <si>
    <t>0.184965303866063</t>
  </si>
  <si>
    <t>0.0377134776500383</t>
  </si>
  <si>
    <t>0.0152118708598946</t>
  </si>
  <si>
    <t>0.0180693591292597</t>
  </si>
  <si>
    <t>0.0874168088531366</t>
  </si>
  <si>
    <t>0.0168298955433544</t>
  </si>
  <si>
    <t>0.0159567939472619</t>
  </si>
  <si>
    <t>0.60619235090282</t>
  </si>
  <si>
    <t>SXL_PCA</t>
  </si>
  <si>
    <t>1401.1296262016</t>
  </si>
  <si>
    <t>0.0383290326014671</t>
  </si>
  <si>
    <t>0.102546936886325</t>
  </si>
  <si>
    <t>0.0589067211008203</t>
  </si>
  <si>
    <t>0.0800580802375648</t>
  </si>
  <si>
    <t>0.0228254937657635</t>
  </si>
  <si>
    <t>0.0721632323488137</t>
  </si>
  <si>
    <t>0.0265900174242725</t>
  </si>
  <si>
    <t>0.0151479145594517</t>
  </si>
  <si>
    <t>0.583432571075521</t>
  </si>
  <si>
    <t>TXF_PCA</t>
  </si>
  <si>
    <t>826.007433128721</t>
  </si>
  <si>
    <t>0.0149294728302957</t>
  </si>
  <si>
    <t>0.116174681281657</t>
  </si>
  <si>
    <t>0.0301117185716779</t>
  </si>
  <si>
    <t>0.123462682921169</t>
  </si>
  <si>
    <t>0.0147480046786635</t>
  </si>
  <si>
    <t>0.0895003427460308</t>
  </si>
  <si>
    <t>0.00831778186392783</t>
  </si>
  <si>
    <t>0.0186477502079705</t>
  </si>
  <si>
    <t>0.584107564898607</t>
  </si>
  <si>
    <t>WZY_PCA</t>
  </si>
  <si>
    <t>1168.3522679343</t>
  </si>
  <si>
    <t>0.0366964524389851</t>
  </si>
  <si>
    <t>0.145367368235333</t>
  </si>
  <si>
    <t>0.0523968984833655</t>
  </si>
  <si>
    <t>0.0952898554440501</t>
  </si>
  <si>
    <t>0.0184658713434515</t>
  </si>
  <si>
    <t>0.0831301986406373</t>
  </si>
  <si>
    <t>0.0207034232594037</t>
  </si>
  <si>
    <t>0.0164256074334832</t>
  </si>
  <si>
    <t>0.531524324721291</t>
  </si>
  <si>
    <t>0.643894458320213</t>
  </si>
  <si>
    <t>XJZ1_PCA</t>
  </si>
  <si>
    <t>507.439384016991</t>
  </si>
  <si>
    <t>0.0139553711839741</t>
  </si>
  <si>
    <t>0.1197728674412</t>
  </si>
  <si>
    <t>0.0254589108475199</t>
  </si>
  <si>
    <t>0.144961896189849</t>
  </si>
  <si>
    <t>0.0170234540776219</t>
  </si>
  <si>
    <t>0.109694613273956</t>
  </si>
  <si>
    <t>0.00701713659417027</t>
  </si>
  <si>
    <t>0.018894132395217</t>
  </si>
  <si>
    <t>0.543221617996492</t>
  </si>
  <si>
    <t>0.114240399008837</t>
  </si>
  <si>
    <t>XJZ2_PCA</t>
  </si>
  <si>
    <t>1013.48061413994</t>
  </si>
  <si>
    <t>0.0207521709986609</t>
  </si>
  <si>
    <t>0.0876661938758181</t>
  </si>
  <si>
    <t>0.0717284452498906</t>
  </si>
  <si>
    <t>0.0761045063115737</t>
  </si>
  <si>
    <t>0.0154780818486153</t>
  </si>
  <si>
    <t>0.053833667396177</t>
  </si>
  <si>
    <t>0.00458683079787009</t>
  </si>
  <si>
    <t>0.0122511741077274</t>
  </si>
  <si>
    <t>0.657598929413667</t>
  </si>
  <si>
    <t>XMB_PCA</t>
  </si>
  <si>
    <t>1433.30601761182</t>
  </si>
  <si>
    <t>0.0660242147874098</t>
  </si>
  <si>
    <t>0.0830055040981963</t>
  </si>
  <si>
    <t>0.0753050778805033</t>
  </si>
  <si>
    <t>0.085424156799066</t>
  </si>
  <si>
    <t>0.0122905559740287</t>
  </si>
  <si>
    <t>0.0839120243118521</t>
  </si>
  <si>
    <t>0.0172845831238475</t>
  </si>
  <si>
    <t>0.0164257804697055</t>
  </si>
  <si>
    <t>0.560328102555391</t>
  </si>
  <si>
    <t>0.383265482453206</t>
  </si>
  <si>
    <t>YJF_PCA</t>
  </si>
  <si>
    <t>670.174451274183</t>
  </si>
  <si>
    <t>0.00982964278500048</t>
  </si>
  <si>
    <t>0.0903459738165475</t>
  </si>
  <si>
    <t>0.0455159550339966</t>
  </si>
  <si>
    <t>0.0700733970546493</t>
  </si>
  <si>
    <t>0.0227710484282539</t>
  </si>
  <si>
    <t>0.0807588419786671</t>
  </si>
  <si>
    <t>0.011799019569942</t>
  </si>
  <si>
    <t>0.0163621671903278</t>
  </si>
  <si>
    <t>0.00051093124279816</t>
  </si>
  <si>
    <t>0.652033022899817</t>
  </si>
  <si>
    <t>0.345240921044963</t>
  </si>
  <si>
    <t>YN_PCA</t>
  </si>
  <si>
    <t>1147.45909806502</t>
  </si>
  <si>
    <t>0.0238513712509183</t>
  </si>
  <si>
    <t>0.0881843481339843</t>
  </si>
  <si>
    <t>0.0480837532783899</t>
  </si>
  <si>
    <t>0.0992369673273821</t>
  </si>
  <si>
    <t>0.0135596748773305</t>
  </si>
  <si>
    <t>0.0630372200574533</t>
  </si>
  <si>
    <t>0.00736861004505114</t>
  </si>
  <si>
    <t>0.0122286632108141</t>
  </si>
  <si>
    <t>0.644449391818676</t>
  </si>
  <si>
    <t>YYM_PCA</t>
  </si>
  <si>
    <t>1142.26684419124</t>
  </si>
  <si>
    <t>0.0256899765548026</t>
  </si>
  <si>
    <t>0.0941031783081861</t>
  </si>
  <si>
    <t>0.0488710447782808</t>
  </si>
  <si>
    <t>0.0845094487182704</t>
  </si>
  <si>
    <t>0.0144688819066232</t>
  </si>
  <si>
    <t>0.0818792527864417</t>
  </si>
  <si>
    <t>0.0165106877803345</t>
  </si>
  <si>
    <t>0.0158146625617585</t>
  </si>
  <si>
    <t>0.618152866605302</t>
  </si>
  <si>
    <t>0.205173226899878</t>
  </si>
  <si>
    <t>YYW_PCA</t>
  </si>
  <si>
    <t>706.479642701142</t>
  </si>
  <si>
    <t>0.0203474297337965</t>
  </si>
  <si>
    <t>0.138124445517181</t>
  </si>
  <si>
    <t>0.050855442699988</t>
  </si>
  <si>
    <t>0.0744322902922977</t>
  </si>
  <si>
    <t>0.0229113493729265</t>
  </si>
  <si>
    <t>0.0781781128591977</t>
  </si>
  <si>
    <t>0.0136580035381874</t>
  </si>
  <si>
    <t>0.0154607598911293</t>
  </si>
  <si>
    <t>0.586032166095296</t>
  </si>
  <si>
    <t>YZA_PCA</t>
  </si>
  <si>
    <t>996.412529261149</t>
  </si>
  <si>
    <t>0.0313449032621124</t>
  </si>
  <si>
    <t>0.0917352290812929</t>
  </si>
  <si>
    <t>0.0378419935773892</t>
  </si>
  <si>
    <t>0.0723043261026977</t>
  </si>
  <si>
    <t>0.0136945374474507</t>
  </si>
  <si>
    <t>0.0665797013093299</t>
  </si>
  <si>
    <t>0.0237021489674533</t>
  </si>
  <si>
    <t>0.0146608013004209</t>
  </si>
  <si>
    <t>0.648136358951853</t>
  </si>
  <si>
    <t>0.3884066042984</t>
  </si>
  <si>
    <t>ZGL_PCA</t>
  </si>
  <si>
    <t>1731.28407132522</t>
  </si>
  <si>
    <t>0.0315108519716423</t>
  </si>
  <si>
    <t>0.155451806258925</t>
  </si>
  <si>
    <t>0.027248610016817</t>
  </si>
  <si>
    <t>0.219798455275485</t>
  </si>
  <si>
    <t>0.00690339651572306</t>
  </si>
  <si>
    <t>0.140693423355995</t>
  </si>
  <si>
    <t>0.0229355479126232</t>
  </si>
  <si>
    <t>0.0261023229560849</t>
  </si>
  <si>
    <t>0.369355585736704</t>
  </si>
  <si>
    <t>0.586357681110995</t>
  </si>
  <si>
    <t>ZGM_PCA</t>
  </si>
  <si>
    <t>1439.08813550326</t>
  </si>
  <si>
    <t>0.0598480063676936</t>
  </si>
  <si>
    <t>0.0829160349552661</t>
  </si>
  <si>
    <t>0.0748939760457189</t>
  </si>
  <si>
    <t>0.0842628295296436</t>
  </si>
  <si>
    <t>0.0171598059646835</t>
  </si>
  <si>
    <t>0.057218073439071</t>
  </si>
  <si>
    <t>0.0162751286487671</t>
  </si>
  <si>
    <t>0.0206990050579739</t>
  </si>
  <si>
    <t>0.586727139991182</t>
  </si>
  <si>
    <t>0.0275757231325004</t>
  </si>
  <si>
    <t>ZJG_PCA</t>
  </si>
  <si>
    <t>1008.15318436855</t>
  </si>
  <si>
    <t>0.0208020420416405</t>
  </si>
  <si>
    <t>0.114510680091113</t>
  </si>
  <si>
    <t>0.0367600777008004</t>
  </si>
  <si>
    <t>0.132685490833153</t>
  </si>
  <si>
    <t>0.0216542367411274</t>
  </si>
  <si>
    <t>0.0818624467802959</t>
  </si>
  <si>
    <t>0.0118683510134287</t>
  </si>
  <si>
    <t>0.0165973309670153</t>
  </si>
  <si>
    <t>0.563259343831425</t>
  </si>
  <si>
    <t>ZL_PCA</t>
  </si>
  <si>
    <t>1291.56917012973</t>
  </si>
  <si>
    <t>0.0237187709894864</t>
  </si>
  <si>
    <t>0.0799221697279339</t>
  </si>
  <si>
    <t>0.0638856896359786</t>
  </si>
  <si>
    <t>0.09250365380072</t>
  </si>
  <si>
    <t>0.0193281092586763</t>
  </si>
  <si>
    <t>0.0785760607207897</t>
  </si>
  <si>
    <t>0.0061737746375409</t>
  </si>
  <si>
    <t>0.0150268662335212</t>
  </si>
  <si>
    <t>0.620864904995353</t>
  </si>
  <si>
    <t>ZSK_PCA</t>
  </si>
  <si>
    <t>912.822875402976</t>
  </si>
  <si>
    <t>0.0234338043956828</t>
  </si>
  <si>
    <t>0.111123931737331</t>
  </si>
  <si>
    <t>0.0509647889961549</t>
  </si>
  <si>
    <t>0.0913132723746382</t>
  </si>
  <si>
    <t>0.0203989296486056</t>
  </si>
  <si>
    <t>0.0682620278508026</t>
  </si>
  <si>
    <t>0.0100191832288789</t>
  </si>
  <si>
    <t>0.0134980765289055</t>
  </si>
  <si>
    <t>0.697431282244625</t>
  </si>
  <si>
    <t>ZW_PCA</t>
  </si>
  <si>
    <t>968.025963119928</t>
  </si>
  <si>
    <t>0.0236740251641936</t>
  </si>
  <si>
    <t>0.0958404229658468</t>
  </si>
  <si>
    <t>0.0371689711540513</t>
  </si>
  <si>
    <t>0.0905956406776313</t>
  </si>
  <si>
    <t>0.0178611236027548</t>
  </si>
  <si>
    <t>0.0885128889688535</t>
  </si>
  <si>
    <t>0.012525647444807</t>
  </si>
  <si>
    <t>0.0186001965989979</t>
  </si>
  <si>
    <t>0.615221083422864</t>
  </si>
  <si>
    <t>0.170324876569004</t>
  </si>
  <si>
    <t>ZXH_PCA</t>
  </si>
  <si>
    <t>788.300680137615</t>
  </si>
  <si>
    <t>0.0282439277754274</t>
  </si>
  <si>
    <t>0.0744308525780684</t>
  </si>
  <si>
    <t>0.0479130697121934</t>
  </si>
  <si>
    <t>0.0620451097867632</t>
  </si>
  <si>
    <t>0.0160460000351751</t>
  </si>
  <si>
    <t>0.0696042507558267</t>
  </si>
  <si>
    <t>0.0077624854131163</t>
  </si>
  <si>
    <t>0.0134472487878303</t>
  </si>
  <si>
    <t>0.00727822199976449</t>
  </si>
  <si>
    <t>0.673228833155835</t>
  </si>
  <si>
    <t>ZY_PCA</t>
  </si>
  <si>
    <t>922.734774175224</t>
  </si>
  <si>
    <t>0.0202892537711194</t>
  </si>
  <si>
    <t>0.0886967014840623</t>
  </si>
  <si>
    <t>0.0416866983783741</t>
  </si>
  <si>
    <t>0.0692897618321631</t>
  </si>
  <si>
    <t>0.020607432832301</t>
  </si>
  <si>
    <t>0.0595264487330561</t>
  </si>
  <si>
    <t>0.0139985272412025</t>
  </si>
  <si>
    <t>0.0130048597742031</t>
  </si>
  <si>
    <t>0.672900315953519</t>
  </si>
  <si>
    <t>HCJ_CA1</t>
  </si>
  <si>
    <t>1083.86344029582</t>
  </si>
  <si>
    <t>0.0141769184947003</t>
  </si>
  <si>
    <t>0.0650545257440324</t>
  </si>
  <si>
    <t>0.0782653950994277</t>
  </si>
  <si>
    <t>0.0433430118080752</t>
  </si>
  <si>
    <t>0.0162670038120044</t>
  </si>
  <si>
    <t>0.00371362524226716</t>
  </si>
  <si>
    <t>0.0183117121657331</t>
  </si>
  <si>
    <t>0.0275526434435591</t>
  </si>
  <si>
    <t>0.733315164190201</t>
  </si>
  <si>
    <t>JYL_CA1</t>
  </si>
  <si>
    <t>1723.20023722359</t>
  </si>
  <si>
    <t>0.0241375633041076</t>
  </si>
  <si>
    <t>0.0808082824162551</t>
  </si>
  <si>
    <t>0.0706147122866745</t>
  </si>
  <si>
    <t>0.101406589482327</t>
  </si>
  <si>
    <t>0.0181709074561623</t>
  </si>
  <si>
    <t>0.0397257569493908</t>
  </si>
  <si>
    <t>0.0309075790138459</t>
  </si>
  <si>
    <t>0.0416159103287105</t>
  </si>
  <si>
    <t>0.592612698762527</t>
  </si>
  <si>
    <t>LSM_CA1</t>
  </si>
  <si>
    <t>866.440663174689</t>
  </si>
  <si>
    <t>0.0113540436077987</t>
  </si>
  <si>
    <t>0.0833297399892924</t>
  </si>
  <si>
    <t>0.0252531376344552</t>
  </si>
  <si>
    <t>0.0672210779378529</t>
  </si>
  <si>
    <t>0.0259466891244392</t>
  </si>
  <si>
    <t>0.0160487927230833</t>
  </si>
  <si>
    <t>0.00843902941063545</t>
  </si>
  <si>
    <t>0.0282927547550383</t>
  </si>
  <si>
    <t>0.734114734817405</t>
  </si>
  <si>
    <t>SCJ_CA1</t>
  </si>
  <si>
    <t>919.387532844881</t>
  </si>
  <si>
    <t>0.0106569674266787</t>
  </si>
  <si>
    <t>0.110428694246677</t>
  </si>
  <si>
    <t>0.0244542140526521</t>
  </si>
  <si>
    <t>0.092577819563041</t>
  </si>
  <si>
    <t>0.0167362145387808</t>
  </si>
  <si>
    <t>0.0262710029611655</t>
  </si>
  <si>
    <t>0.0133891989498176</t>
  </si>
  <si>
    <t>0.0215608436263417</t>
  </si>
  <si>
    <t>0.683925044634845</t>
  </si>
  <si>
    <t>WZY_CA1</t>
  </si>
  <si>
    <t>1381.18508371113</t>
  </si>
  <si>
    <t>0.0201170839578966</t>
  </si>
  <si>
    <t>0.178394030580388</t>
  </si>
  <si>
    <t>0.0399370803495186</t>
  </si>
  <si>
    <t>0.0493154658840513</t>
  </si>
  <si>
    <t>0.00456262994672595</t>
  </si>
  <si>
    <t>0.0530213139212504</t>
  </si>
  <si>
    <t>0.0314628821909887</t>
  </si>
  <si>
    <t>0.62318951316918</t>
  </si>
  <si>
    <t>XMB_CA1</t>
  </si>
  <si>
    <t>1556.57948277124</t>
  </si>
  <si>
    <t>0.061181806234449</t>
  </si>
  <si>
    <t>0.0828993256433186</t>
  </si>
  <si>
    <t>0.0836238993380803</t>
  </si>
  <si>
    <t>0.0663179974459256</t>
  </si>
  <si>
    <t>0.012216405648606</t>
  </si>
  <si>
    <t>0.0504031377168401</t>
  </si>
  <si>
    <t>0.0225500664978551</t>
  </si>
  <si>
    <t>0.0248702073843271</t>
  </si>
  <si>
    <t>0.595937154090598</t>
  </si>
  <si>
    <t>YJF_CA1</t>
  </si>
  <si>
    <t>1125.65842436748</t>
  </si>
  <si>
    <t>0.0114035966646874</t>
  </si>
  <si>
    <t>0.0768907035670076</t>
  </si>
  <si>
    <t>0.0300253515958407</t>
  </si>
  <si>
    <t>0.0896986817978701</t>
  </si>
  <si>
    <t>0.01720840562154</t>
  </si>
  <si>
    <t>0.00482879596651706</t>
  </si>
  <si>
    <t>0.0213621211533258</t>
  </si>
  <si>
    <t>0.748582343633211</t>
  </si>
  <si>
    <t>YYM_CA1</t>
  </si>
  <si>
    <t>994.400937844606</t>
  </si>
  <si>
    <t>0.00878540171725119</t>
  </si>
  <si>
    <t>0.075340014708293</t>
  </si>
  <si>
    <t>0.0243036912359253</t>
  </si>
  <si>
    <t>0.0355659217250222</t>
  </si>
  <si>
    <t>0.0124345042783904</t>
  </si>
  <si>
    <t>0.0151190654982774</t>
  </si>
  <si>
    <t>0.0312341197157031</t>
  </si>
  <si>
    <t>0.797217281121138</t>
  </si>
  <si>
    <t>ZGL_CA1</t>
  </si>
  <si>
    <t>1375.89610182087</t>
  </si>
  <si>
    <t>0.0114254821435612</t>
  </si>
  <si>
    <t>0.0835747812694484</t>
  </si>
  <si>
    <t>0.0122228487604654</t>
  </si>
  <si>
    <t>0.131056418469898</t>
  </si>
  <si>
    <t>0.00620557574962253</t>
  </si>
  <si>
    <t>0.0518414924467318</t>
  </si>
  <si>
    <t>0.0128214690088807</t>
  </si>
  <si>
    <t>0.0243038642488489</t>
  </si>
  <si>
    <t>0.666548067902543</t>
  </si>
  <si>
    <t>ZSK_CA1</t>
  </si>
  <si>
    <t>1397.97684151004</t>
  </si>
  <si>
    <t>0.0195575678061747</t>
  </si>
  <si>
    <t>0.119455369248708</t>
  </si>
  <si>
    <t>0.0669228262154433</t>
  </si>
  <si>
    <t>0.0589272572590319</t>
  </si>
  <si>
    <t>0.0119220310379969</t>
  </si>
  <si>
    <t>0.0361745762726507</t>
  </si>
  <si>
    <t>0.0204593839424025</t>
  </si>
  <si>
    <t>0.0354629964370359</t>
  </si>
  <si>
    <t>0.631117991780557</t>
  </si>
  <si>
    <t>ZW_CA1</t>
  </si>
  <si>
    <t>1128.97651933663</t>
  </si>
  <si>
    <t>0.0180174146628892</t>
  </si>
  <si>
    <t>0.111110640135919</t>
  </si>
  <si>
    <t>0.026068493311458</t>
  </si>
  <si>
    <t>0.102909747208327</t>
  </si>
  <si>
    <t>0.0146534186789679</t>
  </si>
  <si>
    <t>0.0352113608507734</t>
  </si>
  <si>
    <t>0.0123996556727464</t>
  </si>
  <si>
    <t>0.0330201713332974</t>
  </si>
  <si>
    <t>0.646609098145622</t>
  </si>
  <si>
    <t>CL_CA2</t>
  </si>
  <si>
    <t>365.608918572223</t>
  </si>
  <si>
    <t>0.00942845953341494</t>
  </si>
  <si>
    <t>0.0505860745046058</t>
  </si>
  <si>
    <t>0.033500964934475</t>
  </si>
  <si>
    <t>0.0729897994043972</t>
  </si>
  <si>
    <t>0.0153808433739445</t>
  </si>
  <si>
    <t>0.0219302293808937</t>
  </si>
  <si>
    <t>0.00504753886291426</t>
  </si>
  <si>
    <t>0.0118869860422598</t>
  </si>
  <si>
    <t>0.779249103963095</t>
  </si>
  <si>
    <t>HYM_CA2</t>
  </si>
  <si>
    <t>109.789589264951</t>
  </si>
  <si>
    <t>0.00302508013260955</t>
  </si>
  <si>
    <t>0.0261467669008124</t>
  </si>
  <si>
    <t>0.0195433958115907</t>
  </si>
  <si>
    <t>0.0411718817030065</t>
  </si>
  <si>
    <t>0.00872133590934955</t>
  </si>
  <si>
    <t>0.00666534018934371</t>
  </si>
  <si>
    <t>0.00240045412585494</t>
  </si>
  <si>
    <t>0.0125996041079266</t>
  </si>
  <si>
    <t>0.879726141119506</t>
  </si>
  <si>
    <t>LRM_CA2</t>
  </si>
  <si>
    <t>218.978593050048</t>
  </si>
  <si>
    <t>0.00716228611935796</t>
  </si>
  <si>
    <t>0.0981363428159642</t>
  </si>
  <si>
    <t>0.0168138659680133</t>
  </si>
  <si>
    <t>0.0483646888301273</t>
  </si>
  <si>
    <t>0.00566625995035295</t>
  </si>
  <si>
    <t>0.0251951181354113</t>
  </si>
  <si>
    <t>0.0121733470809091</t>
  </si>
  <si>
    <t>0.0305642869675662</t>
  </si>
  <si>
    <t>0.755923804132298</t>
  </si>
  <si>
    <t>LXY_CA2</t>
  </si>
  <si>
    <t>556.926928692663</t>
  </si>
  <si>
    <t>0.00799883235753959</t>
  </si>
  <si>
    <t>0.149480568966368</t>
  </si>
  <si>
    <t>0.0019370562160468</t>
  </si>
  <si>
    <t>0.0503549353168749</t>
  </si>
  <si>
    <t>0.00830534232897791</t>
  </si>
  <si>
    <t>0.0396489622217777</t>
  </si>
  <si>
    <t>0.0136548605351649</t>
  </si>
  <si>
    <t>0.056929656171024</t>
  </si>
  <si>
    <t>0.671689785886227</t>
  </si>
  <si>
    <t>LYM_CA2</t>
  </si>
  <si>
    <t>423.12933635175</t>
  </si>
  <si>
    <t>0.00477071238673936</t>
  </si>
  <si>
    <t>0.044328802820637</t>
  </si>
  <si>
    <t>0.0147732810279033</t>
  </si>
  <si>
    <t>0.041727712037512</t>
  </si>
  <si>
    <t>0.00807326964756439</t>
  </si>
  <si>
    <t>0.0255772517201313</t>
  </si>
  <si>
    <t>0.00548306808770701</t>
  </si>
  <si>
    <t>0.0242155847116905</t>
  </si>
  <si>
    <t>0.831050317560115</t>
  </si>
  <si>
    <t>MXN_CA2</t>
  </si>
  <si>
    <t>393.075400792048</t>
  </si>
  <si>
    <t>0.00915748292357945</t>
  </si>
  <si>
    <t>0.0443566109198874</t>
  </si>
  <si>
    <t>0.0167227391108044</t>
  </si>
  <si>
    <t>0.0609038713114759</t>
  </si>
  <si>
    <t>0.00880296771262591</t>
  </si>
  <si>
    <t>0.0183755870070582</t>
  </si>
  <si>
    <t>0.00407205992656912</t>
  </si>
  <si>
    <t>0.0150774462883688</t>
  </si>
  <si>
    <t>0.822531234799631</t>
  </si>
  <si>
    <t>SGL_CA2</t>
  </si>
  <si>
    <t>1195.9405639486</t>
  </si>
  <si>
    <t>0.0149790631350882</t>
  </si>
  <si>
    <t>0.054971937884265</t>
  </si>
  <si>
    <t>0.0341398986266488</t>
  </si>
  <si>
    <t>0.0578526478718943</t>
  </si>
  <si>
    <t>0.0103917401923343</t>
  </si>
  <si>
    <t>0.0178770808395636</t>
  </si>
  <si>
    <t>0.0225824395321765</t>
  </si>
  <si>
    <t>0.023206211823892</t>
  </si>
  <si>
    <t>0.763998980094137</t>
  </si>
  <si>
    <t>SML_CA2</t>
  </si>
  <si>
    <t>904.141161319646</t>
  </si>
  <si>
    <t>0.00491227930968116</t>
  </si>
  <si>
    <t>0.0575229577507679</t>
  </si>
  <si>
    <t>0.00601729020851217</t>
  </si>
  <si>
    <t>0.106401941797186</t>
  </si>
  <si>
    <t>0.00783416214714402</t>
  </si>
  <si>
    <t>0.00371212693066537</t>
  </si>
  <si>
    <t>0.00954288074262275</t>
  </si>
  <si>
    <t>0.804056361113421</t>
  </si>
  <si>
    <t>SXL_CA2</t>
  </si>
  <si>
    <t>27.0919313753178</t>
  </si>
  <si>
    <t>0.00806114260920455</t>
  </si>
  <si>
    <t>0.0530851589246609</t>
  </si>
  <si>
    <t>0.0260169298922438</t>
  </si>
  <si>
    <t>0.102904566712779</t>
  </si>
  <si>
    <t>0.013342043737103</t>
  </si>
  <si>
    <t>0.0423054383991278</t>
  </si>
  <si>
    <t>0.00340921043821246</t>
  </si>
  <si>
    <t>0.0155454948656286</t>
  </si>
  <si>
    <t>0.73533001442104</t>
  </si>
  <si>
    <t>TXF_CA2</t>
  </si>
  <si>
    <t>552.335060589853</t>
  </si>
  <si>
    <t>0.0186806764267301</t>
  </si>
  <si>
    <t>0.123445466257553</t>
  </si>
  <si>
    <t>0.0206303271994612</t>
  </si>
  <si>
    <t>0.0460975162000127</t>
  </si>
  <si>
    <t>0.0128291462072188</t>
  </si>
  <si>
    <t>0.00328800280777707</t>
  </si>
  <si>
    <t>0.0113844677866485</t>
  </si>
  <si>
    <t>0.0241915057116664</t>
  </si>
  <si>
    <t>0.739452891402932</t>
  </si>
  <si>
    <t>XJZ1_CA2</t>
  </si>
  <si>
    <t>857.465524356131</t>
  </si>
  <si>
    <t>0.0176797436947732</t>
  </si>
  <si>
    <t>0.0812105108288516</t>
  </si>
  <si>
    <t>0.0296927938418659</t>
  </si>
  <si>
    <t>0.0705385978206123</t>
  </si>
  <si>
    <t>0.0105213614165595</t>
  </si>
  <si>
    <t>0.0593077734404163</t>
  </si>
  <si>
    <t>0.0107629984306267</t>
  </si>
  <si>
    <t>0.0287717917557223</t>
  </si>
  <si>
    <t>0.691514428770572</t>
  </si>
  <si>
    <t>XJZ2_CA2</t>
  </si>
  <si>
    <t>261.753671353652</t>
  </si>
  <si>
    <t>0.011088105838807</t>
  </si>
  <si>
    <t>0.0653328371811603</t>
  </si>
  <si>
    <t>0.0190468454562238</t>
  </si>
  <si>
    <t>0.0494702342485332</t>
  </si>
  <si>
    <t>0.015750381627056</t>
  </si>
  <si>
    <t>0.00225929707371928</t>
  </si>
  <si>
    <t>0.0172343657339961</t>
  </si>
  <si>
    <t>0.819817932840504</t>
  </si>
  <si>
    <t>YN_CA2</t>
  </si>
  <si>
    <t>438.239579433252</t>
  </si>
  <si>
    <t>0.0103449408933316</t>
  </si>
  <si>
    <t>0.0649297247645032</t>
  </si>
  <si>
    <t>0.0256650780472925</t>
  </si>
  <si>
    <t>0.0709625274279598</t>
  </si>
  <si>
    <t>0.013433689845807</t>
  </si>
  <si>
    <t>0.00719490507871097</t>
  </si>
  <si>
    <t>0.00791553480862682</t>
  </si>
  <si>
    <t>0.0240406253926379</t>
  </si>
  <si>
    <t>0.77551297374113</t>
  </si>
  <si>
    <t>YYW_CA2</t>
  </si>
  <si>
    <t>330.409742600975</t>
  </si>
  <si>
    <t>0.00648841457381567</t>
  </si>
  <si>
    <t>0.0675200091927208</t>
  </si>
  <si>
    <t>0.0130389999938303</t>
  </si>
  <si>
    <t>0.0819545892484068</t>
  </si>
  <si>
    <t>0.00844547663307738</t>
  </si>
  <si>
    <t>0.0462443496034002</t>
  </si>
  <si>
    <t>0.00530544770122038</t>
  </si>
  <si>
    <t>0.0166013457075374</t>
  </si>
  <si>
    <t>0.754401367345991</t>
  </si>
  <si>
    <t>YZA_CA2</t>
  </si>
  <si>
    <t>752.990377165707</t>
  </si>
  <si>
    <t>0.00829178035209173</t>
  </si>
  <si>
    <t>0.0698195012135439</t>
  </si>
  <si>
    <t>0.0457747271126238</t>
  </si>
  <si>
    <t>0.0446205020083823</t>
  </si>
  <si>
    <t>0.0144933291337389</t>
  </si>
  <si>
    <t>0.00337002354925794</t>
  </si>
  <si>
    <t>0.0278510420722928</t>
  </si>
  <si>
    <t>0.0241671453684148</t>
  </si>
  <si>
    <t>0.761611949189654</t>
  </si>
  <si>
    <t>ZGM_CA2</t>
  </si>
  <si>
    <t>559.185059637479</t>
  </si>
  <si>
    <t>0.00362987383925453</t>
  </si>
  <si>
    <t>0.0671670610236034</t>
  </si>
  <si>
    <t>0.0142734432072588</t>
  </si>
  <si>
    <t>0.104483564712481</t>
  </si>
  <si>
    <t>0.0072679856862782</t>
  </si>
  <si>
    <t>0.0467913928128878</t>
  </si>
  <si>
    <t>0.0112243421098742</t>
  </si>
  <si>
    <t>0.015593922242061</t>
  </si>
  <si>
    <t>0.729568414366301</t>
  </si>
  <si>
    <t>ZJG_CA2</t>
  </si>
  <si>
    <t>139.195417217025</t>
  </si>
  <si>
    <t>0.00469896165041095</t>
  </si>
  <si>
    <t>0.026654719331624</t>
  </si>
  <si>
    <t>0.0325373468544027</t>
  </si>
  <si>
    <t>0.0368344813876514</t>
  </si>
  <si>
    <t>0.0133363015282861</t>
  </si>
  <si>
    <t>0.00641877092368049</t>
  </si>
  <si>
    <t>0.0120740752836512</t>
  </si>
  <si>
    <t>0.867445343040293</t>
  </si>
  <si>
    <t>ZL_CA2</t>
  </si>
  <si>
    <t>401.777949801602</t>
  </si>
  <si>
    <t>0.00804416338539677</t>
  </si>
  <si>
    <t>0.0557682214526384</t>
  </si>
  <si>
    <t>0.0340504397488774</t>
  </si>
  <si>
    <t>0.0633442582399771</t>
  </si>
  <si>
    <t>0.0155123047686631</t>
  </si>
  <si>
    <t>0.0151625162158362</t>
  </si>
  <si>
    <t>0.00635465311904109</t>
  </si>
  <si>
    <t>0.0172213927132271</t>
  </si>
  <si>
    <t>0.784542050356343</t>
  </si>
  <si>
    <t>ZXH_CA2</t>
  </si>
  <si>
    <t>91.9095314263682</t>
  </si>
  <si>
    <t>0.00776515313120253</t>
  </si>
  <si>
    <t>0.0426862198661067</t>
  </si>
  <si>
    <t>0.0159604081537731</t>
  </si>
  <si>
    <t>0.0692772053191938</t>
  </si>
  <si>
    <t>0.0119108778727925</t>
  </si>
  <si>
    <t>0.0112504146612998</t>
  </si>
  <si>
    <t>0.00252863865885281</t>
  </si>
  <si>
    <t>0.0111998755146897</t>
  </si>
  <si>
    <t>0.827421206822089</t>
  </si>
  <si>
    <t>ZY_CA2</t>
  </si>
  <si>
    <t>460.104879718091</t>
  </si>
  <si>
    <t>0.00761290957137927</t>
  </si>
  <si>
    <t>0.0703577601872058</t>
  </si>
  <si>
    <t>0.0120050097494579</t>
  </si>
  <si>
    <t>0.0458292134162419</t>
  </si>
  <si>
    <t>0.0103901190002802</t>
  </si>
  <si>
    <t>0.00933606226596599</t>
  </si>
  <si>
    <t>0.004129597159321</t>
  </si>
  <si>
    <t>0.0163996193050674</t>
  </si>
  <si>
    <t>0.823939709345081</t>
  </si>
  <si>
    <t>J</t>
  </si>
  <si>
    <t>L</t>
  </si>
  <si>
    <t>M</t>
  </si>
  <si>
    <t>N</t>
  </si>
  <si>
    <t>PCA</t>
  </si>
  <si>
    <t>CA1/CA2</t>
  </si>
  <si>
    <t>Log10(CA1/CA2)</t>
  </si>
  <si>
    <t>B. fragilis</t>
  </si>
  <si>
    <t>P. stomatis</t>
  </si>
  <si>
    <t>P. gingivalis</t>
  </si>
  <si>
    <t>P. micra</t>
  </si>
  <si>
    <t>P. vulgatus</t>
  </si>
  <si>
    <t xml:space="preserve">B. thetaiotaomicron </t>
  </si>
  <si>
    <t>K. pneumoniae</t>
  </si>
  <si>
    <t>F. prausnitzii G</t>
  </si>
  <si>
    <t>M. torques</t>
  </si>
  <si>
    <t>F. mortiferum</t>
  </si>
  <si>
    <t>O</t>
  </si>
  <si>
    <t>PCA1</t>
  </si>
  <si>
    <t>PCA2</t>
  </si>
  <si>
    <t>P</t>
  </si>
  <si>
    <t>gene</t>
  </si>
  <si>
    <t>P-14-CA</t>
  </si>
  <si>
    <t>P-15-CA</t>
  </si>
  <si>
    <t>P-16-CA</t>
  </si>
  <si>
    <t>P-17-CA</t>
  </si>
  <si>
    <t>P-18-CA</t>
  </si>
  <si>
    <t>P-19-CA</t>
  </si>
  <si>
    <t>P-20-CA</t>
  </si>
  <si>
    <t>P-21-CA</t>
  </si>
  <si>
    <t>P-22-CA</t>
  </si>
  <si>
    <t>P-23-CA</t>
  </si>
  <si>
    <t>P-24-CA</t>
  </si>
  <si>
    <t>P-25-CA</t>
  </si>
  <si>
    <t>P-26-CA</t>
  </si>
  <si>
    <t>P-27-CA</t>
  </si>
  <si>
    <t>P-28-CA</t>
  </si>
  <si>
    <t>P-29-CA</t>
  </si>
  <si>
    <t>P-30-CA</t>
  </si>
  <si>
    <t>P-31-CA</t>
  </si>
  <si>
    <t>P-01-CA</t>
  </si>
  <si>
    <t>P-02-CA</t>
  </si>
  <si>
    <t>P-03-CA</t>
  </si>
  <si>
    <t>P-04-CA</t>
  </si>
  <si>
    <t>P-05-CA</t>
  </si>
  <si>
    <t>P-06-CA</t>
  </si>
  <si>
    <t>P-07-CA</t>
  </si>
  <si>
    <t>P-08-CA</t>
  </si>
  <si>
    <t>P-09-CA</t>
  </si>
  <si>
    <t>P-10-CA</t>
  </si>
  <si>
    <t>P-11-CA</t>
  </si>
  <si>
    <t>P-12-CA</t>
  </si>
  <si>
    <t>P-13-CA</t>
  </si>
  <si>
    <t>CD84</t>
  </si>
  <si>
    <t>CLEC12A</t>
  </si>
  <si>
    <t>CR1</t>
  </si>
  <si>
    <t>FCER1G</t>
  </si>
  <si>
    <t>FGR</t>
  </si>
  <si>
    <t>HSD11B1</t>
  </si>
  <si>
    <t>ITGAM</t>
  </si>
  <si>
    <t>LAPTM5</t>
  </si>
  <si>
    <t>LRRC25</t>
  </si>
  <si>
    <t>NFAM1</t>
  </si>
  <si>
    <t>PRAM1</t>
  </si>
  <si>
    <t>SLC1A3</t>
  </si>
  <si>
    <t>TFEC</t>
  </si>
  <si>
    <t>TNFSF13B</t>
  </si>
  <si>
    <t>TM6SF1</t>
  </si>
  <si>
    <t>CHST11</t>
  </si>
  <si>
    <t>FLVCR2</t>
  </si>
  <si>
    <t>IFI16</t>
  </si>
  <si>
    <t>RNF144B</t>
  </si>
  <si>
    <t>SLC20A1</t>
  </si>
  <si>
    <t>HPS5</t>
  </si>
  <si>
    <t>DDX60L</t>
  </si>
  <si>
    <t>TFIP11</t>
  </si>
  <si>
    <t>TDRD9</t>
  </si>
  <si>
    <t>R</t>
  </si>
  <si>
    <t>S</t>
  </si>
  <si>
    <t>sample</t>
  </si>
  <si>
    <t>time</t>
  </si>
  <si>
    <t>status</t>
  </si>
  <si>
    <t>group</t>
  </si>
  <si>
    <t>TCGA.AA.3841</t>
  </si>
  <si>
    <t>Faecalibacterium_prausnitzii_C</t>
  </si>
  <si>
    <t>TCGA.AZ.4308</t>
  </si>
  <si>
    <t>Coprococcus_A_catus</t>
  </si>
  <si>
    <t>TCGA.AA.3514</t>
  </si>
  <si>
    <t>Gemmiger_formicilis</t>
  </si>
  <si>
    <t>TCGA.AA.3542</t>
  </si>
  <si>
    <t>Faecalibacterium_prausnitzii_D</t>
  </si>
  <si>
    <t>TCGA.AA.A01T</t>
  </si>
  <si>
    <t>TCGA.AA.A02O</t>
  </si>
  <si>
    <t>T</t>
  </si>
  <si>
    <t>TCGA.CM.4747</t>
  </si>
  <si>
    <t>TCGA.A6.2683</t>
  </si>
  <si>
    <t>Bacteroides_fragilis</t>
  </si>
  <si>
    <t>TCGA.AA.A004</t>
  </si>
  <si>
    <t>Bacteroides_thetaiotaomicron</t>
  </si>
  <si>
    <t>TCGA.AA.3667</t>
  </si>
  <si>
    <t>Klebsiella_pneumoniae</t>
  </si>
  <si>
    <t>TCGA.AA.3848</t>
  </si>
  <si>
    <t>Faecalibacterium_prausnitzii_G</t>
  </si>
  <si>
    <t>TCGA.A6.A56B</t>
  </si>
  <si>
    <t>Clostridium_Q_symbiosum</t>
  </si>
  <si>
    <t>TCGA.NH.A6GA</t>
  </si>
  <si>
    <t>Fusobacterium_A_mortiferum</t>
  </si>
  <si>
    <t>TCGA.A6.6648</t>
  </si>
  <si>
    <t>Escherichia_coli</t>
  </si>
  <si>
    <t>TCGA.A6.5661</t>
  </si>
  <si>
    <t>Erysipelatoclostridium_ramosum</t>
  </si>
  <si>
    <t>TCGA.AM.5820</t>
  </si>
  <si>
    <t>Bacteroides_stercoris</t>
  </si>
  <si>
    <t>TCGA.A6.6653</t>
  </si>
  <si>
    <t>Eggerthella_lenta</t>
  </si>
  <si>
    <t>TCGA.G4.6586</t>
  </si>
  <si>
    <t>Bacteroides_eggerthii</t>
  </si>
  <si>
    <t>TCGA.NH.A6GB</t>
  </si>
  <si>
    <t>Bifidobacterium_longum</t>
  </si>
  <si>
    <t>TCGA.CM.6675</t>
  </si>
  <si>
    <t>Eubacterium_I_ramulus</t>
  </si>
  <si>
    <t>TCGA.A6.5656</t>
  </si>
  <si>
    <t>Flavonifractor_plautii</t>
  </si>
  <si>
    <t>TCGA.A6.5659</t>
  </si>
  <si>
    <t>TCGA.CA.5796</t>
  </si>
  <si>
    <t>TCGA.F4.6856</t>
  </si>
  <si>
    <t>TCGA.AA.3680</t>
  </si>
  <si>
    <t>TCGA.QG.A5Z2</t>
  </si>
  <si>
    <t>TCGA.CM.4743</t>
  </si>
  <si>
    <t>TCGA.G4.6321</t>
  </si>
  <si>
    <t>TCGA.G4.6306</t>
  </si>
  <si>
    <t>TCGA.QG.A5YX</t>
  </si>
  <si>
    <t>TCGA.4N.A93T</t>
  </si>
  <si>
    <t>TCGA.CM.6678</t>
  </si>
  <si>
    <t>TCGA.AA.A01Z</t>
  </si>
  <si>
    <t>TCGA.AZ.4313</t>
  </si>
  <si>
    <t>TCGA.CM.5862</t>
  </si>
  <si>
    <t>TCGA.AA.3561</t>
  </si>
  <si>
    <t>TCGA.D5.5540</t>
  </si>
  <si>
    <t>TCGA.AA.3973</t>
  </si>
  <si>
    <t>TCGA.DM.A1DA</t>
  </si>
  <si>
    <t>TCGA.CM.4744</t>
  </si>
  <si>
    <t>TCGA.DM.A0XD</t>
  </si>
  <si>
    <t>TCGA.AA.A02K</t>
  </si>
  <si>
    <t>TCGA.AZ.4614</t>
  </si>
  <si>
    <t>TCGA.AA.A024</t>
  </si>
  <si>
    <t>TCGA.DM.A282</t>
  </si>
  <si>
    <t>TCGA.AA.A029</t>
  </si>
  <si>
    <t>TCGA.DM.A1D7</t>
  </si>
  <si>
    <t>TCGA.DM.A1D0</t>
  </si>
  <si>
    <t>TCGA.5M.AAT4</t>
  </si>
  <si>
    <t>TCGA.AA.A00U</t>
  </si>
  <si>
    <t>TCGA.AA.3854</t>
  </si>
  <si>
    <t>TCGA.AA.3522</t>
  </si>
  <si>
    <t>TCGA.AA.3861</t>
  </si>
  <si>
    <t>TCGA.AZ.5407</t>
  </si>
  <si>
    <t>TCGA.AA.3696</t>
  </si>
  <si>
    <t>TCGA.CA.6716</t>
  </si>
  <si>
    <t>TCGA.AA.A02Y</t>
  </si>
  <si>
    <t>TCGA.G4.6320</t>
  </si>
  <si>
    <t>TCGA.A6.5666</t>
  </si>
  <si>
    <t>TCGA.DM.A28K</t>
  </si>
  <si>
    <t>TCGA.AA.3979</t>
  </si>
  <si>
    <t>TCGA.CA.5255</t>
  </si>
  <si>
    <t>TCGA.DM.A1HA</t>
  </si>
  <si>
    <t>TCGA.AA.A00W</t>
  </si>
  <si>
    <t>TCGA.DM.A1D9</t>
  </si>
  <si>
    <t>TCGA.AA.A02F</t>
  </si>
  <si>
    <t>TCGA.CM.6166</t>
  </si>
  <si>
    <t>TCGA.DM.A1D4</t>
  </si>
  <si>
    <t>TCGA.AZ.6606</t>
  </si>
  <si>
    <t>TCGA.AA.A01I</t>
  </si>
  <si>
    <t>TCGA.DM.A28F</t>
  </si>
  <si>
    <t>TCGA.AA.3941</t>
  </si>
  <si>
    <t>TCGA.AD.A5EK</t>
  </si>
  <si>
    <t>TCGA.D5.6537</t>
  </si>
  <si>
    <t>TCGA.DM.A1HB</t>
  </si>
  <si>
    <t>TCGA.QG.A5YV</t>
  </si>
  <si>
    <t>TCGA.AD.6889</t>
  </si>
  <si>
    <t>TCGA.DM.A288</t>
  </si>
  <si>
    <t>TCGA.AA.A01G</t>
  </si>
  <si>
    <t>TCGA.5M.AATE</t>
  </si>
  <si>
    <t>TCGA.A6.6652</t>
  </si>
  <si>
    <t>TCGA.AA.3494</t>
  </si>
  <si>
    <t>TCGA.AA.3660</t>
  </si>
  <si>
    <t>TCGA.AA.3688</t>
  </si>
  <si>
    <t>TCGA.F4.6854</t>
  </si>
  <si>
    <t>TCGA.A6.5667</t>
  </si>
  <si>
    <t>TCGA.AA.3858</t>
  </si>
  <si>
    <t>TCGA.D5.5537</t>
  </si>
  <si>
    <t>TCGA.AA.A01V</t>
  </si>
  <si>
    <t>TCGA.AA.A01X</t>
  </si>
  <si>
    <t>TCGA.AA.3502</t>
  </si>
  <si>
    <t>TCGA.AA.3675</t>
  </si>
  <si>
    <t>TCGA.F4.6806</t>
  </si>
  <si>
    <t>TCGA.AA.A02E</t>
  </si>
  <si>
    <t>TCGA.NH.A6GC</t>
  </si>
  <si>
    <t>TCGA.AD.6890</t>
  </si>
  <si>
    <t>TCGA.G4.6309</t>
  </si>
  <si>
    <t>TCGA.AD.6965</t>
  </si>
  <si>
    <t>TCGA.DM.A285</t>
  </si>
  <si>
    <t>TCGA.A6.5665</t>
  </si>
  <si>
    <t>TCGA.CM.6676</t>
  </si>
  <si>
    <t>TCGA.A6.6140</t>
  </si>
  <si>
    <t>TCGA.AY.A8YK</t>
  </si>
  <si>
    <t>TCGA.AA.A00Z</t>
  </si>
  <si>
    <t>TCGA.CK.6747</t>
  </si>
  <si>
    <t>TCGA.A6.2677</t>
  </si>
  <si>
    <t>TCGA.CK.5912</t>
  </si>
  <si>
    <t>TCGA.D5.6532</t>
  </si>
  <si>
    <t>TCGA.NH.A8F7</t>
  </si>
  <si>
    <t>TCGA.CA.6715</t>
  </si>
  <si>
    <t>TCGA.T9.A92H</t>
  </si>
  <si>
    <t>TCGA.AA.A00L</t>
  </si>
  <si>
    <t>TCGA.D5.6538</t>
  </si>
  <si>
    <t>TCGA.SS.A7HO</t>
  </si>
  <si>
    <t>TCGA.A6.A567</t>
  </si>
  <si>
    <t>TCGA.A6.6650</t>
  </si>
  <si>
    <t>TCGA.AA.A02W</t>
  </si>
  <si>
    <t>TCGA.DM.A1DB</t>
  </si>
  <si>
    <t>TCGA.AA.3531</t>
  </si>
  <si>
    <t>TCGA.CM.4750</t>
  </si>
  <si>
    <t>TCGA.AA.3488</t>
  </si>
  <si>
    <t>TCGA.AA.A017</t>
  </si>
  <si>
    <t>TCGA.CA.5256</t>
  </si>
  <si>
    <t>TCGA.CM.5864</t>
  </si>
  <si>
    <t>TCGA.DM.A28G</t>
  </si>
  <si>
    <t>TCGA.AA.A02H</t>
  </si>
  <si>
    <t>TCGA.DM.A28H</t>
  </si>
  <si>
    <t>TCGA.AY.4070</t>
  </si>
  <si>
    <t>TCGA.AY.6197</t>
  </si>
  <si>
    <t>TCGA.AA.3549</t>
  </si>
  <si>
    <t>TCGA.AA.A00F</t>
  </si>
  <si>
    <t>TCGA.AA.3524</t>
  </si>
  <si>
    <t>TCGA.DM.A280</t>
  </si>
  <si>
    <t>TCGA.AY.A69D</t>
  </si>
  <si>
    <t>TCGA.A6.5657</t>
  </si>
  <si>
    <t>TCGA.AA.A00O</t>
  </si>
  <si>
    <t>TCGA.G4.6304</t>
  </si>
  <si>
    <t>TCGA.AA.3495</t>
  </si>
  <si>
    <t>TCGA.A6.4107</t>
  </si>
  <si>
    <t>TCGA.AA.3506</t>
  </si>
  <si>
    <t>TCGA.AA.3538</t>
  </si>
  <si>
    <t>TCGA.A6.5660</t>
  </si>
  <si>
    <t>TCGA.QG.A5Z1</t>
  </si>
  <si>
    <t>TCGA.AA.3867</t>
  </si>
  <si>
    <t>TCGA.CM.5344</t>
  </si>
  <si>
    <t>TCGA.G4.6293</t>
  </si>
  <si>
    <t>TCGA.G4.6303</t>
  </si>
  <si>
    <t>TCGA.D5.6920</t>
  </si>
  <si>
    <t>TCGA.NH.A8F8</t>
  </si>
  <si>
    <t>TCGA.3L.AA1B</t>
  </si>
  <si>
    <t>TCGA.AA.3511</t>
  </si>
  <si>
    <t>TCGA.AA.3673</t>
  </si>
  <si>
    <t>TCGA.D5.6539</t>
  </si>
  <si>
    <t>TCGA.AD.6963</t>
  </si>
  <si>
    <t>TCGA.AY.6386</t>
  </si>
  <si>
    <t>TCGA.A6.6137</t>
  </si>
  <si>
    <t>TCGA.AA.3678</t>
  </si>
  <si>
    <t>TCGA.AA.3534</t>
  </si>
  <si>
    <t>TCGA.AA.3819</t>
  </si>
  <si>
    <t>TCGA.AA.3560</t>
  </si>
  <si>
    <t>TCGA.AA.3548</t>
  </si>
  <si>
    <t>TCGA.AA.A01C</t>
  </si>
  <si>
    <t>TCGA.G4.6322</t>
  </si>
  <si>
    <t>TCGA.AA.3818</t>
  </si>
  <si>
    <t>TCGA.DM.A28A</t>
  </si>
  <si>
    <t>TCGA.A6.5662</t>
  </si>
  <si>
    <t>TCGA.AA.3837</t>
  </si>
  <si>
    <t>TCGA.AA.A00Q</t>
  </si>
  <si>
    <t>TCGA.AA.3939</t>
  </si>
  <si>
    <t>TCGA.AA.A00K</t>
  </si>
  <si>
    <t>TCGA.CK.4952</t>
  </si>
  <si>
    <t>TCGA.CK.5914</t>
  </si>
  <si>
    <t>TCGA.CK.6751</t>
  </si>
  <si>
    <t>TCGA.D5.6533</t>
  </si>
  <si>
    <t>TCGA.AA.3955</t>
  </si>
  <si>
    <t>TCGA.AA.3519</t>
  </si>
  <si>
    <t>TCGA.AA.3976</t>
  </si>
  <si>
    <t>TCGA.AA.3844</t>
  </si>
  <si>
    <t>TCGA.DM.A0X9</t>
  </si>
  <si>
    <t>TCGA.F4.6463</t>
  </si>
  <si>
    <t>TCGA.AA.A00A</t>
  </si>
  <si>
    <t>TCGA.CM.5868</t>
  </si>
  <si>
    <t>TCGA.CM.6171</t>
  </si>
  <si>
    <t>TCGA.CM.6677</t>
  </si>
  <si>
    <t>TCGA.AA.3530</t>
  </si>
  <si>
    <t>TCGA.A6.6141</t>
  </si>
  <si>
    <t>TCGA.F4.6460</t>
  </si>
  <si>
    <t>TCGA.CA.5254</t>
  </si>
  <si>
    <t>TCGA.CM.6172</t>
  </si>
  <si>
    <t>TCGA.AZ.5403</t>
  </si>
  <si>
    <t>TCGA.CM.6164</t>
  </si>
  <si>
    <t>TCGA.AZ.4616</t>
  </si>
  <si>
    <t>TCGA.AY.5543</t>
  </si>
  <si>
    <t>TCGA.QL.A97D</t>
  </si>
  <si>
    <t>TCGA.DM.A0XF</t>
  </si>
  <si>
    <t>TCGA.G4.6294</t>
  </si>
  <si>
    <t>TCGA.AA.A01Q</t>
  </si>
  <si>
    <t>TCGA.NH.A50U</t>
  </si>
  <si>
    <t>TCGA.NH.A50V</t>
  </si>
  <si>
    <t>TCGA.AA.3851</t>
  </si>
  <si>
    <t>TCGA.AA.3862</t>
  </si>
  <si>
    <t>TCGA.AA.3664</t>
  </si>
  <si>
    <t>TCGA.AA.3846</t>
  </si>
  <si>
    <t>TCGA.AA.3663</t>
  </si>
  <si>
    <t>TCGA.AA.3831</t>
  </si>
  <si>
    <t>TCGA.AA.3666</t>
  </si>
  <si>
    <t>TCGA.AA.3864</t>
  </si>
  <si>
    <t>TCGA.AA.3855</t>
  </si>
  <si>
    <t>TCGA.AA.3980</t>
  </si>
  <si>
    <t>TCGA.AA.3956</t>
  </si>
  <si>
    <t>TCGA.QG.A5YW</t>
  </si>
  <si>
    <t>TCGA.AA.3492</t>
  </si>
  <si>
    <t>TCGA.AA.3968</t>
  </si>
  <si>
    <t>TCGA.AA.3970</t>
  </si>
  <si>
    <t>TCGA.AA.3509</t>
  </si>
  <si>
    <t>TCGA.AA.3952</t>
  </si>
  <si>
    <t>TCGA.AA.A03J</t>
  </si>
  <si>
    <t>TCGA.AA.3679</t>
  </si>
  <si>
    <t>TCGA.A6.2680</t>
  </si>
  <si>
    <t>TCGA.AA.3975</t>
  </si>
  <si>
    <t>TCGA.D5.6932</t>
  </si>
  <si>
    <t>TCGA.AA.3517</t>
  </si>
  <si>
    <t>TCGA.AA.3994</t>
  </si>
  <si>
    <t>TCGA.CM.5861</t>
  </si>
  <si>
    <t>TCGA.AA.3525</t>
  </si>
  <si>
    <t>TCGA.D5.6540</t>
  </si>
  <si>
    <t>TCGA.G4.6323</t>
  </si>
  <si>
    <t>TCGA.D5.6930</t>
  </si>
  <si>
    <t>TCGA.F4.6461</t>
  </si>
  <si>
    <t>TCGA.AZ.6599</t>
  </si>
  <si>
    <t>TCGA.CM.4746</t>
  </si>
  <si>
    <t>TCGA.RU.A8FL</t>
  </si>
  <si>
    <t>TCGA.AA.A01S</t>
  </si>
  <si>
    <t>TCGA.G4.6317</t>
  </si>
  <si>
    <t>TCGA.DM.A1D8</t>
  </si>
  <si>
    <t>TCGA.G4.6307</t>
  </si>
  <si>
    <t>TCGA.NH.A50T</t>
  </si>
  <si>
    <t>TCGA.DM.A1D6</t>
  </si>
  <si>
    <t>TCGA.DM.A28M</t>
  </si>
  <si>
    <t>TCGA.DM.A28C</t>
  </si>
  <si>
    <t>TCGA.AD.6888</t>
  </si>
  <si>
    <t>TCGA.AY.A71X</t>
  </si>
  <si>
    <t>TCGA.4T.AA8H</t>
  </si>
  <si>
    <t>TCGA.F4.6808</t>
  </si>
  <si>
    <t>TCGA.G4.6626</t>
  </si>
  <si>
    <t>TCGA.AA.A01F</t>
  </si>
  <si>
    <t>TCGA.AY.A54L</t>
  </si>
  <si>
    <t>TCGA.G4.6315</t>
  </si>
  <si>
    <t>TCGA.DM.A28E</t>
  </si>
  <si>
    <t>TCGA.AA.A02J</t>
  </si>
  <si>
    <t>TCGA.A6.6780</t>
  </si>
  <si>
    <t>TCGA.D5.6536</t>
  </si>
  <si>
    <t>TCGA.AA.3812</t>
  </si>
  <si>
    <t>TCGA.AA.3544</t>
  </si>
  <si>
    <t>TCGA.AA.3715</t>
  </si>
  <si>
    <t>TCGA.AA.3930</t>
  </si>
  <si>
    <t>TCGA.A6.3807</t>
  </si>
  <si>
    <t>TCGA.AA.3875</t>
  </si>
  <si>
    <t>TCGA.AA.3833</t>
  </si>
  <si>
    <t>TCGA.F4.6459</t>
  </si>
  <si>
    <t>TCGA.AA.3811</t>
  </si>
  <si>
    <t>TCGA.G4.6295</t>
  </si>
  <si>
    <t>TCGA.AA.3971</t>
  </si>
  <si>
    <t>TCGA.AY.4071</t>
  </si>
  <si>
    <t>TCGA.CM.6170</t>
  </si>
  <si>
    <t>TCGA.AA.3552</t>
  </si>
  <si>
    <t>TCGA.AA.3692</t>
  </si>
  <si>
    <t>TCGA.CM.6161</t>
  </si>
  <si>
    <t>TCGA.AA.3526</t>
  </si>
  <si>
    <t>TCGA.CA.5797</t>
  </si>
  <si>
    <t>TCGA.AZ.6603</t>
  </si>
  <si>
    <t>TCGA.AA.3842</t>
  </si>
  <si>
    <t>TCGA.AA.3510</t>
  </si>
  <si>
    <t>TCGA.CM.4752</t>
  </si>
  <si>
    <t>TCGA.AA.3553</t>
  </si>
  <si>
    <t>TCGA.AA.3856</t>
  </si>
  <si>
    <t>TCGA.AA.A00N</t>
  </si>
  <si>
    <t>TCGA.CM.6674</t>
  </si>
  <si>
    <t>TCGA.D5.6923</t>
  </si>
  <si>
    <t>TCGA.D5.6929</t>
  </si>
  <si>
    <t>TCGA.CM.6679</t>
  </si>
  <si>
    <t>TCGA.A6.6142</t>
  </si>
  <si>
    <t>TCGA.F4.6809</t>
  </si>
  <si>
    <t>TCGA.A6.2682</t>
  </si>
  <si>
    <t>TCGA.A6.2681</t>
  </si>
  <si>
    <t>TCGA.A6.2671</t>
  </si>
  <si>
    <t>TCGA.AA.3685</t>
  </si>
  <si>
    <t>TCGA.AZ.6598</t>
  </si>
  <si>
    <t>TCGA.AA.A010</t>
  </si>
  <si>
    <t>TCGA.AZ.4315</t>
  </si>
  <si>
    <t>TCGA.AZ.4684</t>
  </si>
  <si>
    <t>TCGA.AA.3989</t>
  </si>
  <si>
    <t>TCGA.CM.5863</t>
  </si>
  <si>
    <t>TCGA.AA.3947</t>
  </si>
  <si>
    <t>TCGA.AZ.6607</t>
  </si>
  <si>
    <t>TCGA.CK.5913</t>
  </si>
  <si>
    <t>TCGA.AA.3977</t>
  </si>
  <si>
    <t>TCGA.AM.5821</t>
  </si>
  <si>
    <t>TCGA.AA.3655</t>
  </si>
  <si>
    <t>TCGA.AD.6895</t>
  </si>
  <si>
    <t>TCGA.CM.4751</t>
  </si>
  <si>
    <t>TCGA.A6.2678</t>
  </si>
  <si>
    <t>TCGA.D5.6931</t>
  </si>
  <si>
    <t>TCGA.D5.7000</t>
  </si>
  <si>
    <t>TCGA.D5.6531</t>
  </si>
  <si>
    <t>TCGA.D5.6922</t>
  </si>
  <si>
    <t>TCGA.AA.3713</t>
  </si>
  <si>
    <t>TCGA.CK.4950</t>
  </si>
  <si>
    <t>TCGA.A6.6649</t>
  </si>
  <si>
    <t>TCGA.G4.6627</t>
  </si>
  <si>
    <t>TCGA.AA.A01K</t>
  </si>
  <si>
    <t>TCGA.AA.3518</t>
  </si>
  <si>
    <t>TCGA.AA.A00J</t>
  </si>
  <si>
    <t>TCGA.G4.6588</t>
  </si>
  <si>
    <t>TCGA.AA.3821</t>
  </si>
  <si>
    <t>TCGA.G4.6297</t>
  </si>
  <si>
    <t>TCGA.AA.3520</t>
  </si>
  <si>
    <t>TCGA.AA.3555</t>
  </si>
  <si>
    <t>TCGA.D5.6535</t>
  </si>
  <si>
    <t>TCGA.AA.3681</t>
  </si>
  <si>
    <t>TCGA.CM.5860</t>
  </si>
  <si>
    <t>TCGA.AA.3869</t>
  </si>
  <si>
    <t>TCGA.AA.3532</t>
  </si>
  <si>
    <t>TCGA.A6.4105</t>
  </si>
  <si>
    <t>TCGA.AA.3982</t>
  </si>
  <si>
    <t>TCGA.AU.3779</t>
  </si>
  <si>
    <t>TCGA.CM.6165</t>
  </si>
  <si>
    <t>TCGA.AD.5900</t>
  </si>
  <si>
    <t>TCGA.A6.6782</t>
  </si>
  <si>
    <t>TCGA.F4.6704</t>
  </si>
  <si>
    <t>TCGA.CM.6680</t>
  </si>
  <si>
    <t>TCGA.D5.5539</t>
  </si>
  <si>
    <t>TCGA.AZ.6600</t>
  </si>
  <si>
    <t>TCGA.CK.6748</t>
  </si>
  <si>
    <t>TCGA.A6.5664</t>
  </si>
  <si>
    <t>TCGA.CM.6167</t>
  </si>
  <si>
    <t>TCGA.F4.6807</t>
  </si>
  <si>
    <t>TCGA.AA.3870</t>
  </si>
  <si>
    <t>TCGA.G4.6311</t>
  </si>
  <si>
    <t>TCGA.D5.6898</t>
  </si>
  <si>
    <t>TCGA.A6.A5ZU</t>
  </si>
  <si>
    <t>TCGA.CA.6719</t>
  </si>
  <si>
    <t>TCGA.CM.6163</t>
  </si>
  <si>
    <t>TCGA.AD.6901</t>
  </si>
  <si>
    <t>TCGA.F4.6855</t>
  </si>
  <si>
    <t>TCGA.AA.3986</t>
  </si>
  <si>
    <t>TCGA.F4.6805</t>
  </si>
  <si>
    <t>TCGA.AA.3496</t>
  </si>
  <si>
    <t>TCGA.AD.6548</t>
  </si>
  <si>
    <t>TCGA.AA.A01R</t>
  </si>
  <si>
    <t>TCGA.AA.A00E</t>
  </si>
  <si>
    <t>TCGA.AA.A01D</t>
  </si>
  <si>
    <t>TCGA.A6.2685</t>
  </si>
  <si>
    <t>TCGA.A6.A565</t>
  </si>
  <si>
    <t>TCGA.AZ.4323</t>
  </si>
  <si>
    <t>TCGA.CA.6717</t>
  </si>
  <si>
    <t>TCGA.AA.3950</t>
  </si>
  <si>
    <t>TCGA.F4.6569</t>
  </si>
  <si>
    <t>TCGA.A6.3810</t>
  </si>
  <si>
    <t>TCGA.A6.6138</t>
  </si>
  <si>
    <t>TCGA.G4.6299</t>
  </si>
  <si>
    <t>TCGA.AA.3877</t>
  </si>
  <si>
    <t>TCGA.A6.3808</t>
  </si>
  <si>
    <t>TCGA.AA.A00D</t>
  </si>
  <si>
    <t>TCGA.D5.6529</t>
  </si>
  <si>
    <t>TCGA.AD.6899</t>
  </si>
  <si>
    <t>TCGA.A6.2672</t>
  </si>
  <si>
    <t>TCGA.AA.3815</t>
  </si>
  <si>
    <t>TCGA.AU.6004</t>
  </si>
  <si>
    <t>TCGA.CK.5916</t>
  </si>
  <si>
    <t>TCGA.D5.6541</t>
  </si>
  <si>
    <t>TCGA.A6.2675</t>
  </si>
  <si>
    <t>TCGA.D5.6924</t>
  </si>
  <si>
    <t>TCGA.A6.2684</t>
  </si>
  <si>
    <t>TCGA.D5.6926</t>
  </si>
  <si>
    <t>TCGA.AZ.6605</t>
  </si>
  <si>
    <t>TCGA.D5.5541</t>
  </si>
  <si>
    <t>TCGA.AA.A01P</t>
  </si>
  <si>
    <t>TCGA.CK.4951</t>
  </si>
  <si>
    <t>TCGA.D5.6530</t>
  </si>
  <si>
    <t>TCGA.AA.3543</t>
  </si>
  <si>
    <t>TCGA.AZ.4615</t>
  </si>
  <si>
    <t>TCGA.AA.3949</t>
  </si>
  <si>
    <t>TCGA.A6.2686</t>
  </si>
  <si>
    <t>TCGA.AA.3966</t>
  </si>
  <si>
    <t>TCGA.CM.5341</t>
  </si>
  <si>
    <t>TCGA.CM.5349</t>
  </si>
  <si>
    <t>TCGA.A6.6651</t>
  </si>
  <si>
    <t>TCGA.AA.3489</t>
  </si>
  <si>
    <t>TCGA.CM.5348</t>
  </si>
  <si>
    <t>TCGA.A6.6654</t>
  </si>
  <si>
    <t>TCGA.F4.6570</t>
  </si>
  <si>
    <t>TCGA.A6.6781</t>
  </si>
  <si>
    <t>TCGA.CM.6169</t>
  </si>
  <si>
    <t>TCGA.CM.6168</t>
  </si>
  <si>
    <t>TCGA.CM.6162</t>
  </si>
  <si>
    <t>TCGA.D5.5538</t>
  </si>
  <si>
    <t>TCGA.AA.3866</t>
  </si>
  <si>
    <t>TCGA.A6.A566</t>
  </si>
  <si>
    <t>TCGA.AA.3710</t>
  </si>
  <si>
    <t>TCGA.AD.6964</t>
  </si>
  <si>
    <t>TCGA.5M.AAT6</t>
  </si>
  <si>
    <t>TCGA.G4.6628</t>
  </si>
  <si>
    <t>TCGA.AA.A00R</t>
  </si>
  <si>
    <t>TCGA.D5.6927</t>
  </si>
  <si>
    <t>TCGA.A6.2676</t>
  </si>
  <si>
    <t>TCGA.AA.A02R</t>
  </si>
  <si>
    <t>TCGA.A6.3809</t>
  </si>
  <si>
    <t>TCGA.CA.6718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</si>
</sst>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sz val="10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horizontal="left"/>
    </xf>
    <xf numFmtId="0" fontId="1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center"/>
    </xf>
    <xf numFmtId="0" fontId="2" fillId="0" borderId="0" xfId="0" applyFont="1" applyFill="1" applyAlignment="1"/>
    <xf numFmtId="0" fontId="1" fillId="0" borderId="0" xfId="0" applyFont="1" applyFill="1" applyAlignment="1" quotePrefix="1">
      <alignment vertical="center"/>
    </xf>
    <xf numFmtId="0" fontId="1" fillId="0" borderId="0" xfId="0" applyFont="1" applyFill="1" applyAlignment="1" quotePrefix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548"/>
  <sheetViews>
    <sheetView tabSelected="1" workbookViewId="0">
      <selection activeCell="A1" sqref="$A1:$XFD1048576"/>
    </sheetView>
  </sheetViews>
  <sheetFormatPr defaultColWidth="8.83333333333333" defaultRowHeight="13.8"/>
  <cols>
    <col min="1" max="1" width="11.8333333333333" style="1"/>
    <col min="2" max="4" width="12.8333333333333" style="1"/>
    <col min="5" max="6" width="14.1666666666667" style="1"/>
    <col min="7" max="7" width="12.8333333333333" style="1"/>
    <col min="8" max="11" width="14.1666666666667" style="1"/>
    <col min="12" max="12" width="12.8333333333333" style="1"/>
    <col min="13" max="15" width="14.1666666666667" style="1"/>
    <col min="16" max="17" width="12.8333333333333" style="1"/>
    <col min="18" max="20" width="14.1666666666667" style="1"/>
    <col min="21" max="21" width="14.5" style="1" customWidth="1"/>
    <col min="22" max="22" width="14.1666666666667" style="1"/>
    <col min="23" max="23" width="12.8333333333333" style="1"/>
    <col min="24" max="24" width="14.1666666666667" style="1"/>
    <col min="25" max="26" width="12.8333333333333" style="1"/>
    <col min="27" max="27" width="14.1666666666667" style="1"/>
    <col min="28" max="28" width="12.8333333333333" style="1"/>
    <col min="29" max="32" width="14.1666666666667" style="1"/>
    <col min="33" max="16384" width="8.83333333333333" style="1"/>
  </cols>
  <sheetData>
    <row r="1" s="1" customFormat="1" spans="1:29">
      <c r="A1" s="1" t="s">
        <v>0</v>
      </c>
      <c r="E1" s="1" t="s">
        <v>1</v>
      </c>
      <c r="S1" s="1" t="s">
        <v>2</v>
      </c>
      <c r="W1" s="1" t="s">
        <v>3</v>
      </c>
      <c r="AB1" s="1" t="s">
        <v>4</v>
      </c>
    </row>
    <row r="2" s="1" customFormat="1" spans="1:29">
      <c r="A2" s="1" t="s">
        <v>5</v>
      </c>
      <c r="B2" s="1" t="s">
        <v>6</v>
      </c>
      <c r="E2" s="1" t="s">
        <v>5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16</v>
      </c>
      <c r="P2" s="1" t="s">
        <v>17</v>
      </c>
      <c r="S2" s="2" t="s">
        <v>18</v>
      </c>
      <c r="T2" s="2" t="s">
        <v>19</v>
      </c>
      <c r="W2" s="2" t="s">
        <v>18</v>
      </c>
      <c r="X2" s="2" t="s">
        <v>19</v>
      </c>
      <c r="AB2" s="1" t="s">
        <v>20</v>
      </c>
      <c r="AC2" s="1" t="s">
        <v>21</v>
      </c>
    </row>
    <row r="3" s="1" customFormat="1" spans="1:29">
      <c r="A3" s="1" t="s">
        <v>22</v>
      </c>
      <c r="B3" s="6" t="s">
        <v>23</v>
      </c>
      <c r="E3" s="1" t="s">
        <v>22</v>
      </c>
      <c r="F3" s="6" t="s">
        <v>24</v>
      </c>
      <c r="G3" s="6" t="s">
        <v>25</v>
      </c>
      <c r="H3" s="6" t="s">
        <v>26</v>
      </c>
      <c r="I3" s="6" t="s">
        <v>27</v>
      </c>
      <c r="J3" s="6" t="s">
        <v>28</v>
      </c>
      <c r="K3" s="6" t="s">
        <v>29</v>
      </c>
      <c r="L3" s="6" t="s">
        <v>30</v>
      </c>
      <c r="M3" s="6" t="s">
        <v>31</v>
      </c>
      <c r="N3" s="6" t="s">
        <v>32</v>
      </c>
      <c r="O3" s="1">
        <v>0</v>
      </c>
      <c r="P3" s="6" t="s">
        <v>33</v>
      </c>
      <c r="S3" s="2">
        <v>2580.72607</v>
      </c>
      <c r="T3" s="2">
        <v>8899.572667</v>
      </c>
      <c r="U3" s="3"/>
      <c r="W3" s="2">
        <v>8819.954833</v>
      </c>
      <c r="X3" s="2">
        <v>8794.936167</v>
      </c>
      <c r="AB3" s="1" t="s">
        <v>19</v>
      </c>
      <c r="AC3" s="3">
        <v>-0.258759408359731</v>
      </c>
    </row>
    <row r="4" s="1" customFormat="1" spans="1:29">
      <c r="A4" s="1" t="s">
        <v>34</v>
      </c>
      <c r="B4" s="6" t="s">
        <v>35</v>
      </c>
      <c r="E4" s="1" t="s">
        <v>34</v>
      </c>
      <c r="F4" s="6" t="s">
        <v>36</v>
      </c>
      <c r="G4" s="6" t="s">
        <v>37</v>
      </c>
      <c r="H4" s="6" t="s">
        <v>38</v>
      </c>
      <c r="I4" s="1">
        <v>0</v>
      </c>
      <c r="J4" s="6" t="s">
        <v>39</v>
      </c>
      <c r="K4" s="6" t="s">
        <v>40</v>
      </c>
      <c r="L4" s="6" t="s">
        <v>41</v>
      </c>
      <c r="M4" s="6" t="s">
        <v>42</v>
      </c>
      <c r="N4" s="6" t="s">
        <v>43</v>
      </c>
      <c r="O4" s="1">
        <v>0</v>
      </c>
      <c r="P4" s="6" t="s">
        <v>44</v>
      </c>
      <c r="S4" s="2">
        <v>12090.32948</v>
      </c>
      <c r="T4" s="2">
        <v>8414.4575</v>
      </c>
      <c r="U4" s="3"/>
      <c r="W4" s="2">
        <v>18024.24567</v>
      </c>
      <c r="X4" s="2">
        <v>4897.015</v>
      </c>
      <c r="AB4" s="1" t="s">
        <v>18</v>
      </c>
      <c r="AC4" s="7" t="s">
        <v>45</v>
      </c>
    </row>
    <row r="5" s="1" customFormat="1" spans="1:29">
      <c r="A5" s="1" t="s">
        <v>46</v>
      </c>
      <c r="B5" s="6" t="s">
        <v>47</v>
      </c>
      <c r="E5" s="1" t="s">
        <v>46</v>
      </c>
      <c r="F5" s="6" t="s">
        <v>48</v>
      </c>
      <c r="G5" s="6" t="s">
        <v>49</v>
      </c>
      <c r="H5" s="6" t="s">
        <v>50</v>
      </c>
      <c r="I5" s="1">
        <v>0</v>
      </c>
      <c r="J5" s="6" t="s">
        <v>51</v>
      </c>
      <c r="K5" s="6" t="s">
        <v>52</v>
      </c>
      <c r="L5" s="6" t="s">
        <v>53</v>
      </c>
      <c r="M5" s="6" t="s">
        <v>54</v>
      </c>
      <c r="N5" s="6" t="s">
        <v>55</v>
      </c>
      <c r="O5" s="1">
        <v>0</v>
      </c>
      <c r="P5" s="6" t="s">
        <v>56</v>
      </c>
      <c r="S5" s="2">
        <v>14256.3155</v>
      </c>
      <c r="T5" s="2">
        <v>13369.4205</v>
      </c>
      <c r="U5" s="3"/>
      <c r="W5" s="2">
        <v>15674.79317</v>
      </c>
      <c r="X5" s="2">
        <v>6398.2465</v>
      </c>
      <c r="AB5" s="1" t="s">
        <v>19</v>
      </c>
      <c r="AC5" s="3">
        <v>-0.542315457005571</v>
      </c>
    </row>
    <row r="6" s="1" customFormat="1" spans="1:29">
      <c r="A6" s="1" t="s">
        <v>57</v>
      </c>
      <c r="B6" s="6" t="s">
        <v>58</v>
      </c>
      <c r="E6" s="1" t="s">
        <v>57</v>
      </c>
      <c r="F6" s="6" t="s">
        <v>59</v>
      </c>
      <c r="G6" s="6" t="s">
        <v>60</v>
      </c>
      <c r="H6" s="6" t="s">
        <v>61</v>
      </c>
      <c r="I6" s="1">
        <v>0</v>
      </c>
      <c r="J6" s="6" t="s">
        <v>62</v>
      </c>
      <c r="K6" s="6" t="s">
        <v>63</v>
      </c>
      <c r="L6" s="6" t="s">
        <v>64</v>
      </c>
      <c r="M6" s="6" t="s">
        <v>65</v>
      </c>
      <c r="N6" s="6" t="s">
        <v>66</v>
      </c>
      <c r="O6" s="1">
        <v>0</v>
      </c>
      <c r="P6" s="6" t="s">
        <v>67</v>
      </c>
      <c r="S6" s="2">
        <v>13721.15033</v>
      </c>
      <c r="T6" s="2">
        <v>7135.001833</v>
      </c>
      <c r="U6" s="3"/>
      <c r="W6" s="2">
        <v>13782.16183</v>
      </c>
      <c r="X6" s="2">
        <v>3644.011667</v>
      </c>
      <c r="AB6" s="1" t="s">
        <v>18</v>
      </c>
      <c r="AC6" s="7" t="s">
        <v>68</v>
      </c>
    </row>
    <row r="7" s="1" customFormat="1" spans="1:29">
      <c r="A7" s="1" t="s">
        <v>69</v>
      </c>
      <c r="B7" s="6" t="s">
        <v>70</v>
      </c>
      <c r="E7" s="1" t="s">
        <v>69</v>
      </c>
      <c r="F7" s="6" t="s">
        <v>71</v>
      </c>
      <c r="G7" s="6" t="s">
        <v>72</v>
      </c>
      <c r="H7" s="6" t="s">
        <v>73</v>
      </c>
      <c r="I7" s="1">
        <v>0</v>
      </c>
      <c r="J7" s="6" t="s">
        <v>74</v>
      </c>
      <c r="K7" s="6" t="s">
        <v>75</v>
      </c>
      <c r="L7" s="6" t="s">
        <v>76</v>
      </c>
      <c r="M7" s="6" t="s">
        <v>77</v>
      </c>
      <c r="N7" s="6" t="s">
        <v>78</v>
      </c>
      <c r="O7" s="1">
        <v>0</v>
      </c>
      <c r="P7" s="6" t="s">
        <v>79</v>
      </c>
      <c r="S7" s="2">
        <v>14204.19367</v>
      </c>
      <c r="T7" s="2">
        <v>4215.931</v>
      </c>
      <c r="U7" s="3"/>
      <c r="W7" s="2">
        <v>27250.40233</v>
      </c>
      <c r="X7" s="2">
        <v>5915.284</v>
      </c>
      <c r="AB7" s="1" t="s">
        <v>19</v>
      </c>
      <c r="AC7" s="3">
        <v>-0.270068750642685</v>
      </c>
    </row>
    <row r="8" s="1" customFormat="1" spans="1:29">
      <c r="A8" s="1" t="s">
        <v>80</v>
      </c>
      <c r="B8" s="6" t="s">
        <v>81</v>
      </c>
      <c r="E8" s="1" t="s">
        <v>80</v>
      </c>
      <c r="F8" s="6" t="s">
        <v>82</v>
      </c>
      <c r="G8" s="6" t="s">
        <v>83</v>
      </c>
      <c r="H8" s="6" t="s">
        <v>84</v>
      </c>
      <c r="I8" s="1">
        <v>0</v>
      </c>
      <c r="J8" s="6" t="s">
        <v>85</v>
      </c>
      <c r="K8" s="6" t="s">
        <v>86</v>
      </c>
      <c r="L8" s="6" t="s">
        <v>87</v>
      </c>
      <c r="M8" s="6" t="s">
        <v>88</v>
      </c>
      <c r="N8" s="6" t="s">
        <v>89</v>
      </c>
      <c r="O8" s="1">
        <v>0</v>
      </c>
      <c r="P8" s="6" t="s">
        <v>90</v>
      </c>
      <c r="S8" s="2">
        <v>16595.79633</v>
      </c>
      <c r="T8" s="2">
        <v>7213.591167</v>
      </c>
      <c r="U8" s="3"/>
      <c r="W8" s="2">
        <v>16710.31157</v>
      </c>
      <c r="X8" s="2">
        <v>5165.2515</v>
      </c>
      <c r="AB8" s="1" t="s">
        <v>18</v>
      </c>
      <c r="AC8" s="7" t="s">
        <v>91</v>
      </c>
    </row>
    <row r="9" s="1" customFormat="1" spans="1:29">
      <c r="A9" s="1" t="s">
        <v>92</v>
      </c>
      <c r="B9" s="6" t="s">
        <v>93</v>
      </c>
      <c r="E9" s="1" t="s">
        <v>92</v>
      </c>
      <c r="F9" s="6" t="s">
        <v>94</v>
      </c>
      <c r="G9" s="6" t="s">
        <v>95</v>
      </c>
      <c r="H9" s="6" t="s">
        <v>96</v>
      </c>
      <c r="I9" s="1">
        <v>0</v>
      </c>
      <c r="J9" s="6" t="s">
        <v>97</v>
      </c>
      <c r="K9" s="6" t="s">
        <v>98</v>
      </c>
      <c r="L9" s="6" t="s">
        <v>99</v>
      </c>
      <c r="M9" s="6" t="s">
        <v>100</v>
      </c>
      <c r="N9" s="6" t="s">
        <v>101</v>
      </c>
      <c r="O9" s="1">
        <v>0</v>
      </c>
      <c r="P9" s="6" t="s">
        <v>102</v>
      </c>
      <c r="S9" s="2">
        <v>11916.54209</v>
      </c>
      <c r="T9" s="2">
        <v>9054.217833</v>
      </c>
      <c r="U9" s="3"/>
      <c r="W9" s="2">
        <v>6857.042833</v>
      </c>
      <c r="X9" s="2">
        <v>10512.02933</v>
      </c>
      <c r="AB9" s="1" t="s">
        <v>19</v>
      </c>
      <c r="AC9" s="7" t="s">
        <v>103</v>
      </c>
    </row>
    <row r="10" s="1" customFormat="1" spans="1:29">
      <c r="A10" s="1" t="s">
        <v>104</v>
      </c>
      <c r="B10" s="6" t="s">
        <v>105</v>
      </c>
      <c r="E10" s="1" t="s">
        <v>104</v>
      </c>
      <c r="F10" s="6" t="s">
        <v>106</v>
      </c>
      <c r="G10" s="6" t="s">
        <v>107</v>
      </c>
      <c r="H10" s="6" t="s">
        <v>108</v>
      </c>
      <c r="I10" s="1">
        <v>0</v>
      </c>
      <c r="J10" s="6" t="s">
        <v>109</v>
      </c>
      <c r="K10" s="6" t="s">
        <v>110</v>
      </c>
      <c r="L10" s="6" t="s">
        <v>111</v>
      </c>
      <c r="M10" s="6" t="s">
        <v>112</v>
      </c>
      <c r="N10" s="6" t="s">
        <v>113</v>
      </c>
      <c r="O10" s="1">
        <v>0</v>
      </c>
      <c r="P10" s="6" t="s">
        <v>114</v>
      </c>
      <c r="S10" s="2">
        <v>12437.2387</v>
      </c>
      <c r="T10" s="2">
        <v>17572.28</v>
      </c>
      <c r="U10" s="3"/>
      <c r="W10" s="2">
        <v>16383.15957</v>
      </c>
      <c r="X10" s="2">
        <v>4446.666717</v>
      </c>
      <c r="AB10" s="1" t="s">
        <v>19</v>
      </c>
      <c r="AC10" s="7" t="s">
        <v>115</v>
      </c>
    </row>
    <row r="11" s="1" customFormat="1" spans="1:29">
      <c r="A11" s="1" t="s">
        <v>116</v>
      </c>
      <c r="B11" s="6" t="s">
        <v>117</v>
      </c>
      <c r="E11" s="1" t="s">
        <v>116</v>
      </c>
      <c r="F11" s="6" t="s">
        <v>118</v>
      </c>
      <c r="G11" s="6" t="s">
        <v>119</v>
      </c>
      <c r="H11" s="6" t="s">
        <v>120</v>
      </c>
      <c r="I11" s="1">
        <v>0</v>
      </c>
      <c r="J11" s="6" t="s">
        <v>121</v>
      </c>
      <c r="K11" s="6" t="s">
        <v>122</v>
      </c>
      <c r="L11" s="6" t="s">
        <v>123</v>
      </c>
      <c r="M11" s="6" t="s">
        <v>124</v>
      </c>
      <c r="N11" s="6" t="s">
        <v>125</v>
      </c>
      <c r="O11" s="1">
        <v>0</v>
      </c>
      <c r="P11" s="6" t="s">
        <v>126</v>
      </c>
      <c r="S11" s="2">
        <v>15101.729</v>
      </c>
      <c r="T11" s="2"/>
      <c r="U11" s="3"/>
      <c r="AB11" s="1" t="s">
        <v>19</v>
      </c>
      <c r="AC11" s="3">
        <v>-0.425861813559457</v>
      </c>
    </row>
    <row r="12" s="1" customFormat="1" spans="1:29">
      <c r="A12" s="1" t="s">
        <v>127</v>
      </c>
      <c r="B12" s="6" t="s">
        <v>128</v>
      </c>
      <c r="E12" s="1" t="s">
        <v>127</v>
      </c>
      <c r="F12" s="6" t="s">
        <v>129</v>
      </c>
      <c r="G12" s="6" t="s">
        <v>130</v>
      </c>
      <c r="H12" s="6" t="s">
        <v>131</v>
      </c>
      <c r="I12" s="1">
        <v>0</v>
      </c>
      <c r="J12" s="6" t="s">
        <v>132</v>
      </c>
      <c r="K12" s="6" t="s">
        <v>133</v>
      </c>
      <c r="L12" s="6" t="s">
        <v>134</v>
      </c>
      <c r="M12" s="6" t="s">
        <v>135</v>
      </c>
      <c r="N12" s="6" t="s">
        <v>136</v>
      </c>
      <c r="O12" s="1">
        <v>0</v>
      </c>
      <c r="P12" s="6" t="s">
        <v>137</v>
      </c>
      <c r="S12" s="2">
        <v>7949.618667</v>
      </c>
      <c r="T12" s="2"/>
      <c r="U12" s="3"/>
      <c r="AB12" s="1" t="s">
        <v>18</v>
      </c>
      <c r="AC12" s="7" t="s">
        <v>138</v>
      </c>
    </row>
    <row r="13" s="1" customFormat="1" spans="1:29">
      <c r="A13" s="1" t="s">
        <v>139</v>
      </c>
      <c r="B13" s="6" t="s">
        <v>140</v>
      </c>
      <c r="E13" s="1" t="s">
        <v>139</v>
      </c>
      <c r="F13" s="6" t="s">
        <v>141</v>
      </c>
      <c r="G13" s="6" t="s">
        <v>142</v>
      </c>
      <c r="H13" s="6" t="s">
        <v>143</v>
      </c>
      <c r="I13" s="1">
        <v>0</v>
      </c>
      <c r="J13" s="6" t="s">
        <v>144</v>
      </c>
      <c r="K13" s="6" t="s">
        <v>145</v>
      </c>
      <c r="L13" s="6" t="s">
        <v>146</v>
      </c>
      <c r="M13" s="6" t="s">
        <v>147</v>
      </c>
      <c r="N13" s="6" t="s">
        <v>148</v>
      </c>
      <c r="O13" s="1">
        <v>0</v>
      </c>
      <c r="P13" s="6" t="s">
        <v>149</v>
      </c>
      <c r="U13" s="3"/>
      <c r="AB13" s="1" t="s">
        <v>19</v>
      </c>
      <c r="AC13" s="7" t="s">
        <v>150</v>
      </c>
    </row>
    <row r="14" s="1" customFormat="1" spans="1:29">
      <c r="A14" s="1" t="s">
        <v>151</v>
      </c>
      <c r="B14" s="6" t="s">
        <v>152</v>
      </c>
      <c r="E14" s="1" t="s">
        <v>151</v>
      </c>
      <c r="F14" s="6" t="s">
        <v>153</v>
      </c>
      <c r="G14" s="6" t="s">
        <v>154</v>
      </c>
      <c r="H14" s="6" t="s">
        <v>155</v>
      </c>
      <c r="I14" s="1">
        <v>0</v>
      </c>
      <c r="J14" s="6" t="s">
        <v>156</v>
      </c>
      <c r="K14" s="6" t="s">
        <v>157</v>
      </c>
      <c r="L14" s="6" t="s">
        <v>158</v>
      </c>
      <c r="M14" s="6" t="s">
        <v>159</v>
      </c>
      <c r="N14" s="6" t="s">
        <v>160</v>
      </c>
      <c r="O14" s="1">
        <v>0</v>
      </c>
      <c r="P14" s="6" t="s">
        <v>161</v>
      </c>
      <c r="U14" s="3"/>
      <c r="AB14" s="1" t="s">
        <v>19</v>
      </c>
      <c r="AC14" s="3">
        <v>-0.445844690210366</v>
      </c>
    </row>
    <row r="15" s="1" customFormat="1" spans="1:29">
      <c r="A15" s="1" t="s">
        <v>162</v>
      </c>
      <c r="B15" s="6" t="s">
        <v>163</v>
      </c>
      <c r="E15" s="1" t="s">
        <v>162</v>
      </c>
      <c r="F15" s="6" t="s">
        <v>164</v>
      </c>
      <c r="G15" s="6" t="s">
        <v>165</v>
      </c>
      <c r="H15" s="6" t="s">
        <v>166</v>
      </c>
      <c r="I15" s="1">
        <v>0</v>
      </c>
      <c r="J15" s="6" t="s">
        <v>167</v>
      </c>
      <c r="K15" s="6" t="s">
        <v>168</v>
      </c>
      <c r="L15" s="6" t="s">
        <v>169</v>
      </c>
      <c r="M15" s="6" t="s">
        <v>170</v>
      </c>
      <c r="N15" s="6" t="s">
        <v>171</v>
      </c>
      <c r="O15" s="1">
        <v>0</v>
      </c>
      <c r="P15" s="6" t="s">
        <v>172</v>
      </c>
      <c r="U15" s="3"/>
      <c r="AB15" s="1" t="s">
        <v>19</v>
      </c>
      <c r="AC15" s="3">
        <v>-0.385563403944205</v>
      </c>
    </row>
    <row r="16" s="1" customFormat="1" spans="1:29">
      <c r="A16" s="1" t="s">
        <v>173</v>
      </c>
      <c r="B16" s="6" t="s">
        <v>174</v>
      </c>
      <c r="E16" s="1" t="s">
        <v>173</v>
      </c>
      <c r="F16" s="6" t="s">
        <v>175</v>
      </c>
      <c r="G16" s="6" t="s">
        <v>176</v>
      </c>
      <c r="H16" s="6" t="s">
        <v>177</v>
      </c>
      <c r="I16" s="1">
        <v>0</v>
      </c>
      <c r="J16" s="6" t="s">
        <v>178</v>
      </c>
      <c r="K16" s="6" t="s">
        <v>179</v>
      </c>
      <c r="L16" s="6" t="s">
        <v>180</v>
      </c>
      <c r="M16" s="6" t="s">
        <v>181</v>
      </c>
      <c r="N16" s="6" t="s">
        <v>182</v>
      </c>
      <c r="O16" s="1">
        <v>0</v>
      </c>
      <c r="P16" s="6" t="s">
        <v>183</v>
      </c>
      <c r="U16" s="3"/>
      <c r="AB16" s="1" t="s">
        <v>19</v>
      </c>
      <c r="AC16" s="3">
        <v>-0.214899091511091</v>
      </c>
    </row>
    <row r="17" s="1" customFormat="1" spans="1:29">
      <c r="A17" s="1" t="s">
        <v>184</v>
      </c>
      <c r="B17" s="6" t="s">
        <v>185</v>
      </c>
      <c r="E17" s="1" t="s">
        <v>184</v>
      </c>
      <c r="F17" s="6" t="s">
        <v>186</v>
      </c>
      <c r="G17" s="6" t="s">
        <v>187</v>
      </c>
      <c r="H17" s="6" t="s">
        <v>188</v>
      </c>
      <c r="I17" s="1">
        <v>0</v>
      </c>
      <c r="J17" s="6" t="s">
        <v>189</v>
      </c>
      <c r="K17" s="6" t="s">
        <v>190</v>
      </c>
      <c r="L17" s="6" t="s">
        <v>191</v>
      </c>
      <c r="M17" s="6" t="s">
        <v>192</v>
      </c>
      <c r="N17" s="6" t="s">
        <v>193</v>
      </c>
      <c r="O17" s="1">
        <v>0</v>
      </c>
      <c r="P17" s="6" t="s">
        <v>194</v>
      </c>
      <c r="U17" s="3"/>
      <c r="AB17" s="1" t="s">
        <v>18</v>
      </c>
      <c r="AC17" s="7" t="s">
        <v>195</v>
      </c>
    </row>
    <row r="18" s="1" customFormat="1" spans="1:29">
      <c r="A18" s="1" t="s">
        <v>196</v>
      </c>
      <c r="B18" s="6" t="s">
        <v>197</v>
      </c>
      <c r="E18" s="1" t="s">
        <v>196</v>
      </c>
      <c r="F18" s="6" t="s">
        <v>198</v>
      </c>
      <c r="G18" s="6" t="s">
        <v>199</v>
      </c>
      <c r="H18" s="6" t="s">
        <v>200</v>
      </c>
      <c r="I18" s="1">
        <v>0</v>
      </c>
      <c r="J18" s="6" t="s">
        <v>201</v>
      </c>
      <c r="K18" s="6" t="s">
        <v>202</v>
      </c>
      <c r="L18" s="6" t="s">
        <v>203</v>
      </c>
      <c r="M18" s="6" t="s">
        <v>204</v>
      </c>
      <c r="N18" s="6" t="s">
        <v>205</v>
      </c>
      <c r="O18" s="1">
        <v>0</v>
      </c>
      <c r="P18" s="6" t="s">
        <v>206</v>
      </c>
      <c r="U18" s="3"/>
      <c r="AB18" s="1" t="s">
        <v>19</v>
      </c>
      <c r="AC18" s="7" t="s">
        <v>207</v>
      </c>
    </row>
    <row r="19" s="1" customFormat="1" spans="1:29">
      <c r="A19" s="1" t="s">
        <v>208</v>
      </c>
      <c r="B19" s="6" t="s">
        <v>209</v>
      </c>
      <c r="E19" s="1" t="s">
        <v>208</v>
      </c>
      <c r="F19" s="6" t="s">
        <v>210</v>
      </c>
      <c r="G19" s="6" t="s">
        <v>211</v>
      </c>
      <c r="H19" s="6" t="s">
        <v>212</v>
      </c>
      <c r="I19" s="1">
        <v>0</v>
      </c>
      <c r="J19" s="6" t="s">
        <v>213</v>
      </c>
      <c r="K19" s="6" t="s">
        <v>214</v>
      </c>
      <c r="L19" s="6" t="s">
        <v>215</v>
      </c>
      <c r="M19" s="6" t="s">
        <v>216</v>
      </c>
      <c r="N19" s="6" t="s">
        <v>217</v>
      </c>
      <c r="O19" s="1">
        <v>0</v>
      </c>
      <c r="P19" s="6" t="s">
        <v>218</v>
      </c>
      <c r="U19" s="3"/>
      <c r="AB19" s="1" t="s">
        <v>19</v>
      </c>
      <c r="AC19" s="3">
        <v>-0.507255837084303</v>
      </c>
    </row>
    <row r="20" s="1" customFormat="1" spans="1:29">
      <c r="A20" s="1" t="s">
        <v>219</v>
      </c>
      <c r="B20" s="6" t="s">
        <v>220</v>
      </c>
      <c r="E20" s="1" t="s">
        <v>219</v>
      </c>
      <c r="F20" s="6" t="s">
        <v>221</v>
      </c>
      <c r="G20" s="6" t="s">
        <v>222</v>
      </c>
      <c r="H20" s="6" t="s">
        <v>223</v>
      </c>
      <c r="I20" s="1">
        <v>0</v>
      </c>
      <c r="J20" s="6" t="s">
        <v>224</v>
      </c>
      <c r="K20" s="6" t="s">
        <v>225</v>
      </c>
      <c r="L20" s="6" t="s">
        <v>226</v>
      </c>
      <c r="M20" s="6" t="s">
        <v>227</v>
      </c>
      <c r="N20" s="6" t="s">
        <v>228</v>
      </c>
      <c r="O20" s="1">
        <v>0</v>
      </c>
      <c r="P20" s="6" t="s">
        <v>229</v>
      </c>
      <c r="U20" s="3"/>
      <c r="AB20" s="1" t="s">
        <v>18</v>
      </c>
      <c r="AC20" s="7" t="s">
        <v>230</v>
      </c>
    </row>
    <row r="21" s="1" customFormat="1" spans="1:29">
      <c r="A21" s="1" t="s">
        <v>231</v>
      </c>
      <c r="B21" s="6" t="s">
        <v>232</v>
      </c>
      <c r="E21" s="1" t="s">
        <v>231</v>
      </c>
      <c r="F21" s="6" t="s">
        <v>233</v>
      </c>
      <c r="G21" s="6" t="s">
        <v>234</v>
      </c>
      <c r="H21" s="6" t="s">
        <v>235</v>
      </c>
      <c r="I21" s="1">
        <v>0</v>
      </c>
      <c r="J21" s="6" t="s">
        <v>236</v>
      </c>
      <c r="K21" s="6" t="s">
        <v>237</v>
      </c>
      <c r="L21" s="6" t="s">
        <v>238</v>
      </c>
      <c r="M21" s="6" t="s">
        <v>239</v>
      </c>
      <c r="N21" s="6" t="s">
        <v>240</v>
      </c>
      <c r="O21" s="6" t="s">
        <v>241</v>
      </c>
      <c r="P21" s="6" t="s">
        <v>242</v>
      </c>
      <c r="U21" s="3"/>
      <c r="AB21" s="1" t="s">
        <v>18</v>
      </c>
      <c r="AC21" s="7" t="s">
        <v>243</v>
      </c>
    </row>
    <row r="22" s="1" customFormat="1" spans="1:29">
      <c r="A22" s="1" t="s">
        <v>244</v>
      </c>
      <c r="B22" s="6" t="s">
        <v>245</v>
      </c>
      <c r="E22" s="1" t="s">
        <v>244</v>
      </c>
      <c r="F22" s="6" t="s">
        <v>246</v>
      </c>
      <c r="G22" s="6" t="s">
        <v>247</v>
      </c>
      <c r="H22" s="6" t="s">
        <v>248</v>
      </c>
      <c r="I22" s="1">
        <v>0</v>
      </c>
      <c r="J22" s="6" t="s">
        <v>249</v>
      </c>
      <c r="K22" s="6" t="s">
        <v>250</v>
      </c>
      <c r="L22" s="6" t="s">
        <v>251</v>
      </c>
      <c r="M22" s="6" t="s">
        <v>252</v>
      </c>
      <c r="N22" s="6" t="s">
        <v>253</v>
      </c>
      <c r="O22" s="1">
        <v>0</v>
      </c>
      <c r="P22" s="6" t="s">
        <v>254</v>
      </c>
      <c r="U22" s="3"/>
      <c r="AB22" s="1" t="s">
        <v>19</v>
      </c>
      <c r="AC22" s="3">
        <v>-0.198891497748616</v>
      </c>
    </row>
    <row r="23" s="1" customFormat="1" spans="1:29">
      <c r="A23" s="1" t="s">
        <v>255</v>
      </c>
      <c r="B23" s="6" t="s">
        <v>256</v>
      </c>
      <c r="E23" s="1" t="s">
        <v>255</v>
      </c>
      <c r="F23" s="6" t="s">
        <v>257</v>
      </c>
      <c r="G23" s="6" t="s">
        <v>258</v>
      </c>
      <c r="H23" s="6" t="s">
        <v>259</v>
      </c>
      <c r="I23" s="1">
        <v>0</v>
      </c>
      <c r="J23" s="6" t="s">
        <v>260</v>
      </c>
      <c r="K23" s="6" t="s">
        <v>261</v>
      </c>
      <c r="L23" s="6" t="s">
        <v>262</v>
      </c>
      <c r="M23" s="6" t="s">
        <v>263</v>
      </c>
      <c r="N23" s="6" t="s">
        <v>264</v>
      </c>
      <c r="O23" s="1">
        <v>0</v>
      </c>
      <c r="P23" s="6" t="s">
        <v>265</v>
      </c>
      <c r="U23" s="3"/>
      <c r="AB23" s="1" t="s">
        <v>18</v>
      </c>
      <c r="AC23" s="7" t="s">
        <v>266</v>
      </c>
    </row>
    <row r="24" s="1" customFormat="1" spans="1:29">
      <c r="A24" s="1" t="s">
        <v>267</v>
      </c>
      <c r="B24" s="6" t="s">
        <v>268</v>
      </c>
      <c r="E24" s="1" t="s">
        <v>267</v>
      </c>
      <c r="F24" s="6" t="s">
        <v>269</v>
      </c>
      <c r="G24" s="6" t="s">
        <v>270</v>
      </c>
      <c r="H24" s="6" t="s">
        <v>271</v>
      </c>
      <c r="I24" s="1">
        <v>0</v>
      </c>
      <c r="J24" s="6" t="s">
        <v>272</v>
      </c>
      <c r="K24" s="6" t="s">
        <v>273</v>
      </c>
      <c r="L24" s="6" t="s">
        <v>274</v>
      </c>
      <c r="M24" s="6" t="s">
        <v>275</v>
      </c>
      <c r="N24" s="6" t="s">
        <v>276</v>
      </c>
      <c r="O24" s="1">
        <v>0</v>
      </c>
      <c r="P24" s="6" t="s">
        <v>277</v>
      </c>
      <c r="U24" s="3"/>
      <c r="AB24" s="1" t="s">
        <v>19</v>
      </c>
      <c r="AC24" s="3">
        <v>-0.451256717281345</v>
      </c>
    </row>
    <row r="25" s="1" customFormat="1" spans="1:29">
      <c r="A25" s="1" t="s">
        <v>278</v>
      </c>
      <c r="B25" s="6" t="s">
        <v>279</v>
      </c>
      <c r="E25" s="1" t="s">
        <v>278</v>
      </c>
      <c r="F25" s="6" t="s">
        <v>280</v>
      </c>
      <c r="G25" s="6" t="s">
        <v>281</v>
      </c>
      <c r="H25" s="6" t="s">
        <v>282</v>
      </c>
      <c r="I25" s="1">
        <v>0</v>
      </c>
      <c r="J25" s="6" t="s">
        <v>283</v>
      </c>
      <c r="K25" s="6" t="s">
        <v>284</v>
      </c>
      <c r="L25" s="6" t="s">
        <v>285</v>
      </c>
      <c r="M25" s="6" t="s">
        <v>286</v>
      </c>
      <c r="N25" s="6" t="s">
        <v>287</v>
      </c>
      <c r="O25" s="1">
        <v>0</v>
      </c>
      <c r="P25" s="6" t="s">
        <v>288</v>
      </c>
      <c r="U25" s="3"/>
      <c r="AB25" s="1" t="s">
        <v>19</v>
      </c>
      <c r="AC25" s="7" t="s">
        <v>289</v>
      </c>
    </row>
    <row r="26" s="1" customFormat="1" spans="1:29">
      <c r="A26" s="1" t="s">
        <v>290</v>
      </c>
      <c r="B26" s="6" t="s">
        <v>291</v>
      </c>
      <c r="E26" s="1" t="s">
        <v>290</v>
      </c>
      <c r="F26" s="6" t="s">
        <v>292</v>
      </c>
      <c r="G26" s="6" t="s">
        <v>293</v>
      </c>
      <c r="H26" s="6" t="s">
        <v>294</v>
      </c>
      <c r="I26" s="1">
        <v>0</v>
      </c>
      <c r="J26" s="6" t="s">
        <v>295</v>
      </c>
      <c r="K26" s="6" t="s">
        <v>296</v>
      </c>
      <c r="L26" s="6" t="s">
        <v>297</v>
      </c>
      <c r="M26" s="6" t="s">
        <v>298</v>
      </c>
      <c r="N26" s="6" t="s">
        <v>299</v>
      </c>
      <c r="O26" s="1">
        <v>0</v>
      </c>
      <c r="P26" s="6" t="s">
        <v>300</v>
      </c>
      <c r="U26" s="3"/>
      <c r="AB26" s="1" t="s">
        <v>18</v>
      </c>
      <c r="AC26" s="7" t="s">
        <v>301</v>
      </c>
    </row>
    <row r="27" s="1" customFormat="1" spans="1:29">
      <c r="A27" s="1" t="s">
        <v>302</v>
      </c>
      <c r="B27" s="6" t="s">
        <v>303</v>
      </c>
      <c r="E27" s="1" t="s">
        <v>302</v>
      </c>
      <c r="F27" s="6" t="s">
        <v>304</v>
      </c>
      <c r="G27" s="6" t="s">
        <v>305</v>
      </c>
      <c r="H27" s="6" t="s">
        <v>306</v>
      </c>
      <c r="I27" s="1">
        <v>0</v>
      </c>
      <c r="J27" s="6" t="s">
        <v>307</v>
      </c>
      <c r="K27" s="6" t="s">
        <v>308</v>
      </c>
      <c r="L27" s="6" t="s">
        <v>309</v>
      </c>
      <c r="M27" s="6" t="s">
        <v>310</v>
      </c>
      <c r="N27" s="6" t="s">
        <v>311</v>
      </c>
      <c r="O27" s="1">
        <v>0</v>
      </c>
      <c r="P27" s="6" t="s">
        <v>312</v>
      </c>
      <c r="U27" s="3"/>
      <c r="AB27" s="1" t="s">
        <v>19</v>
      </c>
      <c r="AC27" s="7" t="s">
        <v>313</v>
      </c>
    </row>
    <row r="28" s="1" customFormat="1" spans="1:29">
      <c r="A28" s="1" t="s">
        <v>314</v>
      </c>
      <c r="B28" s="6" t="s">
        <v>315</v>
      </c>
      <c r="E28" s="1" t="s">
        <v>314</v>
      </c>
      <c r="F28" s="6" t="s">
        <v>316</v>
      </c>
      <c r="G28" s="6" t="s">
        <v>317</v>
      </c>
      <c r="H28" s="6" t="s">
        <v>318</v>
      </c>
      <c r="I28" s="1">
        <v>0</v>
      </c>
      <c r="J28" s="6" t="s">
        <v>319</v>
      </c>
      <c r="K28" s="6" t="s">
        <v>320</v>
      </c>
      <c r="L28" s="6" t="s">
        <v>321</v>
      </c>
      <c r="M28" s="6" t="s">
        <v>322</v>
      </c>
      <c r="N28" s="6" t="s">
        <v>323</v>
      </c>
      <c r="O28" s="1">
        <v>0</v>
      </c>
      <c r="P28" s="6" t="s">
        <v>324</v>
      </c>
      <c r="U28" s="3"/>
      <c r="AB28" s="1" t="s">
        <v>19</v>
      </c>
      <c r="AC28" s="3">
        <v>-0.411739830189722</v>
      </c>
    </row>
    <row r="29" s="1" customFormat="1" spans="1:29">
      <c r="A29" s="1" t="s">
        <v>325</v>
      </c>
      <c r="B29" s="6" t="s">
        <v>326</v>
      </c>
      <c r="E29" s="1" t="s">
        <v>325</v>
      </c>
      <c r="F29" s="6" t="s">
        <v>327</v>
      </c>
      <c r="G29" s="6" t="s">
        <v>328</v>
      </c>
      <c r="H29" s="6" t="s">
        <v>329</v>
      </c>
      <c r="I29" s="1">
        <v>0</v>
      </c>
      <c r="J29" s="6" t="s">
        <v>330</v>
      </c>
      <c r="K29" s="6" t="s">
        <v>331</v>
      </c>
      <c r="L29" s="6" t="s">
        <v>332</v>
      </c>
      <c r="M29" s="6" t="s">
        <v>333</v>
      </c>
      <c r="N29" s="6" t="s">
        <v>334</v>
      </c>
      <c r="O29" s="1">
        <v>0</v>
      </c>
      <c r="P29" s="6" t="s">
        <v>335</v>
      </c>
      <c r="U29" s="3"/>
      <c r="AB29" s="1" t="s">
        <v>19</v>
      </c>
      <c r="AC29" s="3">
        <v>-0.599881216335117</v>
      </c>
    </row>
    <row r="30" s="1" customFormat="1" spans="1:29">
      <c r="A30" s="1" t="s">
        <v>336</v>
      </c>
      <c r="B30" s="6" t="s">
        <v>337</v>
      </c>
      <c r="E30" s="1" t="s">
        <v>336</v>
      </c>
      <c r="F30" s="6" t="s">
        <v>338</v>
      </c>
      <c r="G30" s="6" t="s">
        <v>339</v>
      </c>
      <c r="H30" s="6" t="s">
        <v>340</v>
      </c>
      <c r="I30" s="1">
        <v>0</v>
      </c>
      <c r="J30" s="6" t="s">
        <v>341</v>
      </c>
      <c r="K30" s="6" t="s">
        <v>342</v>
      </c>
      <c r="L30" s="6" t="s">
        <v>343</v>
      </c>
      <c r="M30" s="6" t="s">
        <v>344</v>
      </c>
      <c r="N30" s="6" t="s">
        <v>345</v>
      </c>
      <c r="O30" s="1">
        <v>0</v>
      </c>
      <c r="P30" s="1">
        <v>0.610985985239</v>
      </c>
      <c r="U30" s="3"/>
      <c r="AB30" s="1" t="s">
        <v>18</v>
      </c>
      <c r="AC30" s="7" t="s">
        <v>346</v>
      </c>
    </row>
    <row r="31" s="1" customFormat="1" spans="1:29">
      <c r="A31" s="1" t="s">
        <v>347</v>
      </c>
      <c r="B31" s="6" t="s">
        <v>348</v>
      </c>
      <c r="E31" s="1" t="s">
        <v>347</v>
      </c>
      <c r="F31" s="6" t="s">
        <v>349</v>
      </c>
      <c r="G31" s="6" t="s">
        <v>350</v>
      </c>
      <c r="H31" s="6" t="s">
        <v>351</v>
      </c>
      <c r="I31" s="1">
        <v>0</v>
      </c>
      <c r="J31" s="6" t="s">
        <v>352</v>
      </c>
      <c r="K31" s="6" t="s">
        <v>353</v>
      </c>
      <c r="L31" s="6" t="s">
        <v>354</v>
      </c>
      <c r="M31" s="6" t="s">
        <v>355</v>
      </c>
      <c r="N31" s="6" t="s">
        <v>356</v>
      </c>
      <c r="O31" s="1">
        <v>0</v>
      </c>
      <c r="P31" s="6" t="s">
        <v>357</v>
      </c>
      <c r="U31" s="3"/>
      <c r="AB31" s="1" t="s">
        <v>18</v>
      </c>
      <c r="AC31" s="7" t="s">
        <v>358</v>
      </c>
    </row>
    <row r="32" s="1" customFormat="1" spans="1:29">
      <c r="A32" s="1" t="s">
        <v>359</v>
      </c>
      <c r="B32" s="6" t="s">
        <v>360</v>
      </c>
      <c r="E32" s="1" t="s">
        <v>359</v>
      </c>
      <c r="F32" s="6" t="s">
        <v>361</v>
      </c>
      <c r="G32" s="6" t="s">
        <v>362</v>
      </c>
      <c r="H32" s="6" t="s">
        <v>363</v>
      </c>
      <c r="I32" s="1">
        <v>0</v>
      </c>
      <c r="J32" s="6" t="s">
        <v>364</v>
      </c>
      <c r="K32" s="6" t="s">
        <v>365</v>
      </c>
      <c r="L32" s="6" t="s">
        <v>366</v>
      </c>
      <c r="M32" s="6" t="s">
        <v>367</v>
      </c>
      <c r="N32" s="6" t="s">
        <v>368</v>
      </c>
      <c r="O32" s="6" t="s">
        <v>369</v>
      </c>
      <c r="P32" s="6" t="s">
        <v>370</v>
      </c>
      <c r="U32" s="3"/>
      <c r="AB32" s="1" t="s">
        <v>19</v>
      </c>
      <c r="AC32" s="3">
        <v>-0.629274757032914</v>
      </c>
    </row>
    <row r="33" s="1" customFormat="1" spans="1:29">
      <c r="A33" s="1" t="s">
        <v>371</v>
      </c>
      <c r="B33" s="6" t="s">
        <v>372</v>
      </c>
      <c r="E33" s="1" t="s">
        <v>371</v>
      </c>
      <c r="F33" s="6" t="s">
        <v>373</v>
      </c>
      <c r="G33" s="6" t="s">
        <v>374</v>
      </c>
      <c r="H33" s="6" t="s">
        <v>375</v>
      </c>
      <c r="I33" s="1">
        <v>0</v>
      </c>
      <c r="J33" s="6" t="s">
        <v>376</v>
      </c>
      <c r="K33" s="6" t="s">
        <v>377</v>
      </c>
      <c r="L33" s="6" t="s">
        <v>378</v>
      </c>
      <c r="M33" s="6" t="s">
        <v>379</v>
      </c>
      <c r="N33" s="6" t="s">
        <v>380</v>
      </c>
      <c r="O33" s="1">
        <v>0</v>
      </c>
      <c r="P33" s="6" t="s">
        <v>381</v>
      </c>
      <c r="U33" s="3"/>
      <c r="AB33" s="1" t="s">
        <v>19</v>
      </c>
      <c r="AC33" s="3">
        <v>-0.424322869848181</v>
      </c>
    </row>
    <row r="34" s="1" customFormat="1" spans="1:29">
      <c r="A34" s="1" t="s">
        <v>382</v>
      </c>
      <c r="B34" s="6" t="s">
        <v>383</v>
      </c>
      <c r="E34" s="1" t="s">
        <v>382</v>
      </c>
      <c r="F34" s="6" t="s">
        <v>384</v>
      </c>
      <c r="G34" s="6" t="s">
        <v>385</v>
      </c>
      <c r="H34" s="6" t="s">
        <v>386</v>
      </c>
      <c r="I34" s="1">
        <v>0</v>
      </c>
      <c r="J34" s="6" t="s">
        <v>387</v>
      </c>
      <c r="K34" s="6" t="s">
        <v>388</v>
      </c>
      <c r="L34" s="6" t="s">
        <v>389</v>
      </c>
      <c r="M34" s="6" t="s">
        <v>390</v>
      </c>
      <c r="N34" s="6" t="s">
        <v>391</v>
      </c>
      <c r="O34" s="1">
        <v>0</v>
      </c>
      <c r="P34" s="6" t="s">
        <v>392</v>
      </c>
    </row>
    <row r="35" s="1" customFormat="1" spans="1:29">
      <c r="A35" s="1" t="s">
        <v>393</v>
      </c>
      <c r="B35" s="6" t="s">
        <v>394</v>
      </c>
      <c r="E35" s="1" t="s">
        <v>393</v>
      </c>
      <c r="F35" s="6" t="s">
        <v>395</v>
      </c>
      <c r="G35" s="6" t="s">
        <v>396</v>
      </c>
      <c r="H35" s="6" t="s">
        <v>397</v>
      </c>
      <c r="I35" s="1">
        <v>0</v>
      </c>
      <c r="J35" s="6" t="s">
        <v>398</v>
      </c>
      <c r="K35" s="6" t="s">
        <v>399</v>
      </c>
      <c r="L35" s="6" t="s">
        <v>400</v>
      </c>
      <c r="M35" s="6" t="s">
        <v>401</v>
      </c>
      <c r="N35" s="6" t="s">
        <v>402</v>
      </c>
      <c r="O35" s="1">
        <v>0</v>
      </c>
      <c r="P35" s="6" t="s">
        <v>403</v>
      </c>
    </row>
    <row r="36" s="1" customFormat="1" spans="1:29">
      <c r="A36" s="1" t="s">
        <v>404</v>
      </c>
      <c r="B36" s="6" t="s">
        <v>405</v>
      </c>
      <c r="E36" s="1" t="s">
        <v>404</v>
      </c>
      <c r="F36" s="6" t="s">
        <v>406</v>
      </c>
      <c r="G36" s="6" t="s">
        <v>407</v>
      </c>
      <c r="H36" s="6" t="s">
        <v>408</v>
      </c>
      <c r="I36" s="1">
        <v>0</v>
      </c>
      <c r="J36" s="6" t="s">
        <v>409</v>
      </c>
      <c r="K36" s="6" t="s">
        <v>410</v>
      </c>
      <c r="L36" s="6" t="s">
        <v>411</v>
      </c>
      <c r="M36" s="6" t="s">
        <v>412</v>
      </c>
      <c r="N36" s="6" t="s">
        <v>413</v>
      </c>
      <c r="O36" s="1">
        <v>0</v>
      </c>
      <c r="P36" s="6" t="s">
        <v>414</v>
      </c>
    </row>
    <row r="37" s="1" customFormat="1" spans="1:29">
      <c r="A37" s="1" t="s">
        <v>415</v>
      </c>
      <c r="B37" s="6" t="s">
        <v>416</v>
      </c>
      <c r="E37" s="1" t="s">
        <v>415</v>
      </c>
      <c r="F37" s="6" t="s">
        <v>417</v>
      </c>
      <c r="G37" s="6" t="s">
        <v>418</v>
      </c>
      <c r="H37" s="6" t="s">
        <v>419</v>
      </c>
      <c r="I37" s="1">
        <v>0</v>
      </c>
      <c r="J37" s="6" t="s">
        <v>420</v>
      </c>
      <c r="K37" s="6" t="s">
        <v>421</v>
      </c>
      <c r="L37" s="6" t="s">
        <v>422</v>
      </c>
      <c r="M37" s="6" t="s">
        <v>423</v>
      </c>
      <c r="N37" s="6" t="s">
        <v>424</v>
      </c>
      <c r="O37" s="1">
        <v>0</v>
      </c>
      <c r="P37" s="6" t="s">
        <v>425</v>
      </c>
    </row>
    <row r="38" s="1" customFormat="1" spans="1:29">
      <c r="A38" s="1" t="s">
        <v>426</v>
      </c>
      <c r="B38" s="6" t="s">
        <v>427</v>
      </c>
      <c r="E38" s="1" t="s">
        <v>426</v>
      </c>
      <c r="F38" s="6" t="s">
        <v>428</v>
      </c>
      <c r="G38" s="6" t="s">
        <v>429</v>
      </c>
      <c r="H38" s="6" t="s">
        <v>430</v>
      </c>
      <c r="I38" s="1">
        <v>0</v>
      </c>
      <c r="J38" s="6" t="s">
        <v>431</v>
      </c>
      <c r="K38" s="6" t="s">
        <v>432</v>
      </c>
      <c r="L38" s="1">
        <v>0</v>
      </c>
      <c r="M38" s="6" t="s">
        <v>433</v>
      </c>
      <c r="N38" s="6" t="s">
        <v>434</v>
      </c>
      <c r="O38" s="1">
        <v>0</v>
      </c>
      <c r="P38" s="6" t="s">
        <v>435</v>
      </c>
    </row>
    <row r="39" s="1" customFormat="1" spans="1:29">
      <c r="A39" s="1" t="s">
        <v>436</v>
      </c>
      <c r="B39" s="6" t="s">
        <v>437</v>
      </c>
      <c r="E39" s="1" t="s">
        <v>436</v>
      </c>
      <c r="F39" s="6" t="s">
        <v>438</v>
      </c>
      <c r="G39" s="6" t="s">
        <v>439</v>
      </c>
      <c r="H39" s="6" t="s">
        <v>440</v>
      </c>
      <c r="I39" s="1">
        <v>0</v>
      </c>
      <c r="J39" s="6" t="s">
        <v>441</v>
      </c>
      <c r="K39" s="6" t="s">
        <v>442</v>
      </c>
      <c r="L39" s="6" t="s">
        <v>443</v>
      </c>
      <c r="M39" s="6" t="s">
        <v>444</v>
      </c>
      <c r="N39" s="6" t="s">
        <v>445</v>
      </c>
      <c r="O39" s="1">
        <v>0</v>
      </c>
      <c r="P39" s="6" t="s">
        <v>446</v>
      </c>
    </row>
    <row r="40" s="1" customFormat="1" spans="1:29">
      <c r="A40" s="1" t="s">
        <v>447</v>
      </c>
      <c r="B40" s="6" t="s">
        <v>448</v>
      </c>
      <c r="E40" s="1" t="s">
        <v>447</v>
      </c>
      <c r="F40" s="6" t="s">
        <v>449</v>
      </c>
      <c r="G40" s="6" t="s">
        <v>450</v>
      </c>
      <c r="H40" s="6" t="s">
        <v>451</v>
      </c>
      <c r="I40" s="1">
        <v>0</v>
      </c>
      <c r="J40" s="6" t="s">
        <v>452</v>
      </c>
      <c r="K40" s="6" t="s">
        <v>453</v>
      </c>
      <c r="L40" s="1">
        <v>0</v>
      </c>
      <c r="M40" s="6" t="s">
        <v>454</v>
      </c>
      <c r="N40" s="6" t="s">
        <v>455</v>
      </c>
      <c r="O40" s="1">
        <v>0</v>
      </c>
      <c r="P40" s="6" t="s">
        <v>456</v>
      </c>
    </row>
    <row r="41" s="1" customFormat="1" spans="1:29">
      <c r="A41" s="1" t="s">
        <v>457</v>
      </c>
      <c r="B41" s="6" t="s">
        <v>458</v>
      </c>
      <c r="E41" s="1" t="s">
        <v>457</v>
      </c>
      <c r="F41" s="6" t="s">
        <v>459</v>
      </c>
      <c r="G41" s="6" t="s">
        <v>460</v>
      </c>
      <c r="H41" s="6" t="s">
        <v>461</v>
      </c>
      <c r="I41" s="1">
        <v>0</v>
      </c>
      <c r="J41" s="6" t="s">
        <v>462</v>
      </c>
      <c r="K41" s="6" t="s">
        <v>463</v>
      </c>
      <c r="L41" s="1">
        <v>0</v>
      </c>
      <c r="M41" s="6" t="s">
        <v>464</v>
      </c>
      <c r="N41" s="6" t="s">
        <v>465</v>
      </c>
      <c r="O41" s="1">
        <v>0</v>
      </c>
      <c r="P41" s="6" t="s">
        <v>466</v>
      </c>
    </row>
    <row r="42" s="1" customFormat="1" spans="1:29">
      <c r="A42" s="1" t="s">
        <v>467</v>
      </c>
      <c r="B42" s="6" t="s">
        <v>468</v>
      </c>
      <c r="E42" s="1" t="s">
        <v>467</v>
      </c>
      <c r="F42" s="6" t="s">
        <v>469</v>
      </c>
      <c r="G42" s="6" t="s">
        <v>470</v>
      </c>
      <c r="H42" s="6" t="s">
        <v>471</v>
      </c>
      <c r="I42" s="1">
        <v>0</v>
      </c>
      <c r="J42" s="6" t="s">
        <v>472</v>
      </c>
      <c r="K42" s="6" t="s">
        <v>473</v>
      </c>
      <c r="L42" s="6" t="s">
        <v>474</v>
      </c>
      <c r="M42" s="6" t="s">
        <v>475</v>
      </c>
      <c r="N42" s="6" t="s">
        <v>476</v>
      </c>
      <c r="O42" s="1">
        <v>0</v>
      </c>
      <c r="P42" s="6" t="s">
        <v>477</v>
      </c>
    </row>
    <row r="43" s="1" customFormat="1" spans="1:29">
      <c r="A43" s="1" t="s">
        <v>478</v>
      </c>
      <c r="B43" s="6" t="s">
        <v>479</v>
      </c>
      <c r="E43" s="1" t="s">
        <v>478</v>
      </c>
      <c r="F43" s="6" t="s">
        <v>480</v>
      </c>
      <c r="G43" s="6" t="s">
        <v>481</v>
      </c>
      <c r="H43" s="6" t="s">
        <v>482</v>
      </c>
      <c r="I43" s="1">
        <v>0</v>
      </c>
      <c r="J43" s="6" t="s">
        <v>483</v>
      </c>
      <c r="K43" s="6" t="s">
        <v>484</v>
      </c>
      <c r="L43" s="6" t="s">
        <v>485</v>
      </c>
      <c r="M43" s="6" t="s">
        <v>486</v>
      </c>
      <c r="N43" s="6" t="s">
        <v>487</v>
      </c>
      <c r="O43" s="1">
        <v>0</v>
      </c>
      <c r="P43" s="6" t="s">
        <v>488</v>
      </c>
    </row>
    <row r="44" s="1" customFormat="1" spans="1:29">
      <c r="A44" s="1" t="s">
        <v>489</v>
      </c>
      <c r="B44" s="6" t="s">
        <v>490</v>
      </c>
      <c r="E44" s="1" t="s">
        <v>489</v>
      </c>
      <c r="F44" s="6" t="s">
        <v>491</v>
      </c>
      <c r="G44" s="6" t="s">
        <v>492</v>
      </c>
      <c r="H44" s="6" t="s">
        <v>493</v>
      </c>
      <c r="I44" s="1">
        <v>0</v>
      </c>
      <c r="J44" s="6" t="s">
        <v>494</v>
      </c>
      <c r="K44" s="6" t="s">
        <v>495</v>
      </c>
      <c r="L44" s="6" t="s">
        <v>496</v>
      </c>
      <c r="M44" s="6" t="s">
        <v>497</v>
      </c>
      <c r="N44" s="6" t="s">
        <v>498</v>
      </c>
      <c r="O44" s="1">
        <v>0</v>
      </c>
      <c r="P44" s="6" t="s">
        <v>499</v>
      </c>
    </row>
    <row r="45" s="1" customFormat="1" spans="1:29">
      <c r="A45" s="1" t="s">
        <v>500</v>
      </c>
      <c r="B45" s="6" t="s">
        <v>501</v>
      </c>
      <c r="E45" s="1" t="s">
        <v>500</v>
      </c>
      <c r="F45" s="6" t="s">
        <v>502</v>
      </c>
      <c r="G45" s="6" t="s">
        <v>503</v>
      </c>
      <c r="H45" s="6" t="s">
        <v>504</v>
      </c>
      <c r="I45" s="1">
        <v>0</v>
      </c>
      <c r="J45" s="6" t="s">
        <v>505</v>
      </c>
      <c r="K45" s="6" t="s">
        <v>506</v>
      </c>
      <c r="L45" s="6" t="s">
        <v>507</v>
      </c>
      <c r="M45" s="6" t="s">
        <v>508</v>
      </c>
      <c r="N45" s="6" t="s">
        <v>509</v>
      </c>
      <c r="O45" s="1">
        <v>0</v>
      </c>
      <c r="P45" s="6" t="s">
        <v>510</v>
      </c>
    </row>
    <row r="46" s="1" customFormat="1" spans="1:29">
      <c r="A46" s="1" t="s">
        <v>511</v>
      </c>
      <c r="B46" s="6" t="s">
        <v>512</v>
      </c>
      <c r="E46" s="1" t="s">
        <v>511</v>
      </c>
      <c r="F46" s="6" t="s">
        <v>513</v>
      </c>
      <c r="G46" s="6" t="s">
        <v>514</v>
      </c>
      <c r="H46" s="6" t="s">
        <v>515</v>
      </c>
      <c r="I46" s="1">
        <v>0</v>
      </c>
      <c r="J46" s="6" t="s">
        <v>516</v>
      </c>
      <c r="K46" s="6" t="s">
        <v>517</v>
      </c>
      <c r="L46" s="6" t="s">
        <v>518</v>
      </c>
      <c r="M46" s="6" t="s">
        <v>519</v>
      </c>
      <c r="N46" s="6" t="s">
        <v>520</v>
      </c>
      <c r="O46" s="1">
        <v>0</v>
      </c>
      <c r="P46" s="6" t="s">
        <v>521</v>
      </c>
    </row>
    <row r="47" s="1" customFormat="1" spans="1:29">
      <c r="A47" s="1" t="s">
        <v>522</v>
      </c>
      <c r="B47" s="6" t="s">
        <v>523</v>
      </c>
      <c r="E47" s="1" t="s">
        <v>522</v>
      </c>
      <c r="F47" s="6" t="s">
        <v>524</v>
      </c>
      <c r="G47" s="6" t="s">
        <v>525</v>
      </c>
      <c r="H47" s="6" t="s">
        <v>526</v>
      </c>
      <c r="I47" s="1">
        <v>0</v>
      </c>
      <c r="J47" s="6" t="s">
        <v>527</v>
      </c>
      <c r="K47" s="6" t="s">
        <v>528</v>
      </c>
      <c r="L47" s="6" t="s">
        <v>529</v>
      </c>
      <c r="M47" s="6" t="s">
        <v>530</v>
      </c>
      <c r="N47" s="6" t="s">
        <v>531</v>
      </c>
      <c r="O47" s="1">
        <v>0</v>
      </c>
      <c r="P47" s="6" t="s">
        <v>532</v>
      </c>
    </row>
    <row r="48" s="1" customFormat="1" spans="1:29">
      <c r="A48" s="1" t="s">
        <v>533</v>
      </c>
      <c r="B48" s="6" t="s">
        <v>534</v>
      </c>
      <c r="E48" s="1" t="s">
        <v>533</v>
      </c>
      <c r="F48" s="6" t="s">
        <v>535</v>
      </c>
      <c r="G48" s="6" t="s">
        <v>536</v>
      </c>
      <c r="H48" s="6" t="s">
        <v>537</v>
      </c>
      <c r="I48" s="1">
        <v>0</v>
      </c>
      <c r="J48" s="6" t="s">
        <v>538</v>
      </c>
      <c r="K48" s="6" t="s">
        <v>539</v>
      </c>
      <c r="L48" s="6" t="s">
        <v>540</v>
      </c>
      <c r="M48" s="6" t="s">
        <v>541</v>
      </c>
      <c r="N48" s="6" t="s">
        <v>542</v>
      </c>
      <c r="O48" s="1">
        <v>0</v>
      </c>
      <c r="P48" s="6" t="s">
        <v>543</v>
      </c>
    </row>
    <row r="49" s="1" customFormat="1" spans="1:16">
      <c r="A49" s="1" t="s">
        <v>544</v>
      </c>
      <c r="B49" s="6" t="s">
        <v>545</v>
      </c>
      <c r="E49" s="1" t="s">
        <v>544</v>
      </c>
      <c r="F49" s="6" t="s">
        <v>546</v>
      </c>
      <c r="G49" s="6" t="s">
        <v>547</v>
      </c>
      <c r="H49" s="6" t="s">
        <v>548</v>
      </c>
      <c r="I49" s="1">
        <v>0</v>
      </c>
      <c r="J49" s="6" t="s">
        <v>549</v>
      </c>
      <c r="K49" s="6" t="s">
        <v>550</v>
      </c>
      <c r="L49" s="6" t="s">
        <v>551</v>
      </c>
      <c r="M49" s="6" t="s">
        <v>552</v>
      </c>
      <c r="N49" s="6" t="s">
        <v>553</v>
      </c>
      <c r="O49" s="1">
        <v>0</v>
      </c>
      <c r="P49" s="6" t="s">
        <v>554</v>
      </c>
    </row>
    <row r="50" s="1" customFormat="1" spans="1:16">
      <c r="A50" s="1" t="s">
        <v>555</v>
      </c>
      <c r="B50" s="6" t="s">
        <v>556</v>
      </c>
      <c r="E50" s="1" t="s">
        <v>555</v>
      </c>
      <c r="F50" s="6" t="s">
        <v>557</v>
      </c>
      <c r="G50" s="6" t="s">
        <v>558</v>
      </c>
      <c r="H50" s="6" t="s">
        <v>559</v>
      </c>
      <c r="I50" s="1">
        <v>0</v>
      </c>
      <c r="J50" s="6" t="s">
        <v>560</v>
      </c>
      <c r="K50" s="6" t="s">
        <v>561</v>
      </c>
      <c r="L50" s="6" t="s">
        <v>562</v>
      </c>
      <c r="M50" s="6" t="s">
        <v>563</v>
      </c>
      <c r="N50" s="6" t="s">
        <v>564</v>
      </c>
      <c r="O50" s="1">
        <v>0</v>
      </c>
      <c r="P50" s="6" t="s">
        <v>565</v>
      </c>
    </row>
    <row r="51" s="1" customFormat="1" spans="1:16">
      <c r="A51" s="1" t="s">
        <v>566</v>
      </c>
      <c r="B51" s="6" t="s">
        <v>567</v>
      </c>
      <c r="E51" s="1" t="s">
        <v>566</v>
      </c>
      <c r="F51" s="6" t="s">
        <v>568</v>
      </c>
      <c r="G51" s="6" t="s">
        <v>569</v>
      </c>
      <c r="H51" s="6" t="s">
        <v>570</v>
      </c>
      <c r="I51" s="1">
        <v>0</v>
      </c>
      <c r="J51" s="6" t="s">
        <v>571</v>
      </c>
      <c r="K51" s="6" t="s">
        <v>572</v>
      </c>
      <c r="L51" s="6" t="s">
        <v>573</v>
      </c>
      <c r="M51" s="6" t="s">
        <v>574</v>
      </c>
      <c r="N51" s="6" t="s">
        <v>575</v>
      </c>
      <c r="O51" s="1">
        <v>0</v>
      </c>
      <c r="P51" s="6" t="s">
        <v>576</v>
      </c>
    </row>
    <row r="52" s="1" customFormat="1" spans="1:16">
      <c r="A52" s="1" t="s">
        <v>577</v>
      </c>
      <c r="B52" s="6" t="s">
        <v>578</v>
      </c>
      <c r="E52" s="1" t="s">
        <v>577</v>
      </c>
      <c r="F52" s="6" t="s">
        <v>579</v>
      </c>
      <c r="G52" s="6" t="s">
        <v>580</v>
      </c>
      <c r="H52" s="6" t="s">
        <v>581</v>
      </c>
      <c r="I52" s="1">
        <v>0</v>
      </c>
      <c r="J52" s="6" t="s">
        <v>582</v>
      </c>
      <c r="K52" s="6" t="s">
        <v>583</v>
      </c>
      <c r="L52" s="1">
        <v>0</v>
      </c>
      <c r="M52" s="6" t="s">
        <v>584</v>
      </c>
      <c r="N52" s="6" t="s">
        <v>585</v>
      </c>
      <c r="O52" s="1">
        <v>0</v>
      </c>
      <c r="P52" s="6" t="s">
        <v>586</v>
      </c>
    </row>
    <row r="53" s="1" customFormat="1" spans="1:16">
      <c r="A53" s="1" t="s">
        <v>587</v>
      </c>
      <c r="B53" s="6" t="s">
        <v>588</v>
      </c>
      <c r="E53" s="1" t="s">
        <v>587</v>
      </c>
      <c r="F53" s="6" t="s">
        <v>589</v>
      </c>
      <c r="G53" s="6" t="s">
        <v>590</v>
      </c>
      <c r="H53" s="6" t="s">
        <v>591</v>
      </c>
      <c r="I53" s="1">
        <v>0</v>
      </c>
      <c r="J53" s="6" t="s">
        <v>592</v>
      </c>
      <c r="K53" s="6" t="s">
        <v>593</v>
      </c>
      <c r="L53" s="6" t="s">
        <v>594</v>
      </c>
      <c r="M53" s="6" t="s">
        <v>595</v>
      </c>
      <c r="N53" s="6" t="s">
        <v>596</v>
      </c>
      <c r="O53" s="1">
        <v>0</v>
      </c>
      <c r="P53" s="6" t="s">
        <v>597</v>
      </c>
    </row>
    <row r="54" s="1" customFormat="1" spans="1:16">
      <c r="A54" s="1" t="s">
        <v>598</v>
      </c>
      <c r="B54" s="6" t="s">
        <v>599</v>
      </c>
      <c r="E54" s="1" t="s">
        <v>598</v>
      </c>
      <c r="F54" s="6" t="s">
        <v>600</v>
      </c>
      <c r="G54" s="6" t="s">
        <v>601</v>
      </c>
      <c r="H54" s="6" t="s">
        <v>602</v>
      </c>
      <c r="I54" s="1">
        <v>0</v>
      </c>
      <c r="J54" s="6" t="s">
        <v>603</v>
      </c>
      <c r="K54" s="6" t="s">
        <v>604</v>
      </c>
      <c r="L54" s="6" t="s">
        <v>605</v>
      </c>
      <c r="M54" s="6" t="s">
        <v>606</v>
      </c>
      <c r="N54" s="6" t="s">
        <v>607</v>
      </c>
      <c r="O54" s="1">
        <v>0</v>
      </c>
      <c r="P54" s="6" t="s">
        <v>608</v>
      </c>
    </row>
    <row r="55" s="1" customFormat="1" spans="1:16">
      <c r="A55" s="1" t="s">
        <v>609</v>
      </c>
      <c r="B55" s="6" t="s">
        <v>610</v>
      </c>
      <c r="E55" s="1" t="s">
        <v>609</v>
      </c>
      <c r="F55" s="6" t="s">
        <v>611</v>
      </c>
      <c r="G55" s="6" t="s">
        <v>612</v>
      </c>
      <c r="H55" s="6" t="s">
        <v>613</v>
      </c>
      <c r="I55" s="1">
        <v>0</v>
      </c>
      <c r="J55" s="6" t="s">
        <v>614</v>
      </c>
      <c r="K55" s="6" t="s">
        <v>615</v>
      </c>
      <c r="L55" s="6" t="s">
        <v>616</v>
      </c>
      <c r="M55" s="6" t="s">
        <v>617</v>
      </c>
      <c r="N55" s="6" t="s">
        <v>618</v>
      </c>
      <c r="O55" s="1">
        <v>0</v>
      </c>
      <c r="P55" s="6" t="s">
        <v>619</v>
      </c>
    </row>
    <row r="56" s="1" customFormat="1" spans="1:16">
      <c r="A56" s="1" t="s">
        <v>620</v>
      </c>
      <c r="B56" s="6" t="s">
        <v>621</v>
      </c>
      <c r="E56" s="1" t="s">
        <v>620</v>
      </c>
      <c r="F56" s="6" t="s">
        <v>622</v>
      </c>
      <c r="G56" s="6" t="s">
        <v>623</v>
      </c>
      <c r="H56" s="6" t="s">
        <v>624</v>
      </c>
      <c r="I56" s="1">
        <v>0</v>
      </c>
      <c r="J56" s="6" t="s">
        <v>625</v>
      </c>
      <c r="K56" s="6" t="s">
        <v>626</v>
      </c>
      <c r="L56" s="1">
        <v>0</v>
      </c>
      <c r="M56" s="6" t="s">
        <v>627</v>
      </c>
      <c r="N56" s="6" t="s">
        <v>628</v>
      </c>
      <c r="O56" s="1">
        <v>0</v>
      </c>
      <c r="P56" s="6" t="s">
        <v>629</v>
      </c>
    </row>
    <row r="57" s="1" customFormat="1" spans="1:16">
      <c r="A57" s="1" t="s">
        <v>630</v>
      </c>
      <c r="B57" s="6" t="s">
        <v>631</v>
      </c>
      <c r="E57" s="1" t="s">
        <v>630</v>
      </c>
      <c r="F57" s="6" t="s">
        <v>632</v>
      </c>
      <c r="G57" s="6" t="s">
        <v>633</v>
      </c>
      <c r="H57" s="6" t="s">
        <v>634</v>
      </c>
      <c r="I57" s="1">
        <v>0</v>
      </c>
      <c r="J57" s="6" t="s">
        <v>635</v>
      </c>
      <c r="K57" s="6" t="s">
        <v>636</v>
      </c>
      <c r="L57" s="6" t="s">
        <v>637</v>
      </c>
      <c r="M57" s="6" t="s">
        <v>638</v>
      </c>
      <c r="N57" s="6" t="s">
        <v>639</v>
      </c>
      <c r="O57" s="1">
        <v>0</v>
      </c>
      <c r="P57" s="6" t="s">
        <v>640</v>
      </c>
    </row>
    <row r="58" s="1" customFormat="1" spans="1:16">
      <c r="A58" s="1" t="s">
        <v>641</v>
      </c>
      <c r="B58" s="6" t="s">
        <v>642</v>
      </c>
      <c r="E58" s="1" t="s">
        <v>641</v>
      </c>
      <c r="F58" s="6" t="s">
        <v>643</v>
      </c>
      <c r="G58" s="6" t="s">
        <v>644</v>
      </c>
      <c r="H58" s="6" t="s">
        <v>645</v>
      </c>
      <c r="I58" s="1">
        <v>0</v>
      </c>
      <c r="J58" s="6" t="s">
        <v>646</v>
      </c>
      <c r="K58" s="6" t="s">
        <v>647</v>
      </c>
      <c r="L58" s="6" t="s">
        <v>648</v>
      </c>
      <c r="M58" s="6" t="s">
        <v>649</v>
      </c>
      <c r="N58" s="6" t="s">
        <v>650</v>
      </c>
      <c r="O58" s="1">
        <v>0</v>
      </c>
      <c r="P58" s="6" t="s">
        <v>651</v>
      </c>
    </row>
    <row r="59" s="1" customFormat="1" spans="1:16">
      <c r="A59" s="1" t="s">
        <v>652</v>
      </c>
      <c r="B59" s="6" t="s">
        <v>653</v>
      </c>
      <c r="E59" s="1" t="s">
        <v>652</v>
      </c>
      <c r="F59" s="6" t="s">
        <v>654</v>
      </c>
      <c r="G59" s="6" t="s">
        <v>655</v>
      </c>
      <c r="H59" s="6" t="s">
        <v>656</v>
      </c>
      <c r="I59" s="1">
        <v>0</v>
      </c>
      <c r="J59" s="6" t="s">
        <v>657</v>
      </c>
      <c r="K59" s="6" t="s">
        <v>658</v>
      </c>
      <c r="L59" s="6" t="s">
        <v>659</v>
      </c>
      <c r="M59" s="6" t="s">
        <v>660</v>
      </c>
      <c r="N59" s="6" t="s">
        <v>661</v>
      </c>
      <c r="O59" s="1">
        <v>0</v>
      </c>
      <c r="P59" s="6" t="s">
        <v>662</v>
      </c>
    </row>
    <row r="60" s="1" customFormat="1" spans="1:16">
      <c r="A60" s="1" t="s">
        <v>663</v>
      </c>
      <c r="B60" s="6" t="s">
        <v>664</v>
      </c>
      <c r="E60" s="1" t="s">
        <v>663</v>
      </c>
      <c r="F60" s="6" t="s">
        <v>665</v>
      </c>
      <c r="G60" s="6" t="s">
        <v>666</v>
      </c>
      <c r="H60" s="6" t="s">
        <v>667</v>
      </c>
      <c r="I60" s="1">
        <v>0</v>
      </c>
      <c r="J60" s="6" t="s">
        <v>668</v>
      </c>
      <c r="K60" s="6" t="s">
        <v>669</v>
      </c>
      <c r="L60" s="6" t="s">
        <v>670</v>
      </c>
      <c r="M60" s="6" t="s">
        <v>671</v>
      </c>
      <c r="N60" s="6" t="s">
        <v>672</v>
      </c>
      <c r="O60" s="1">
        <v>0</v>
      </c>
      <c r="P60" s="6" t="s">
        <v>673</v>
      </c>
    </row>
    <row r="61" s="1" customFormat="1" spans="1:16">
      <c r="A61" s="1" t="s">
        <v>674</v>
      </c>
      <c r="B61" s="6" t="s">
        <v>675</v>
      </c>
      <c r="E61" s="1" t="s">
        <v>674</v>
      </c>
      <c r="F61" s="6" t="s">
        <v>676</v>
      </c>
      <c r="G61" s="6" t="s">
        <v>677</v>
      </c>
      <c r="H61" s="6" t="s">
        <v>678</v>
      </c>
      <c r="I61" s="1">
        <v>0</v>
      </c>
      <c r="J61" s="6" t="s">
        <v>679</v>
      </c>
      <c r="K61" s="6" t="s">
        <v>680</v>
      </c>
      <c r="L61" s="1">
        <v>0</v>
      </c>
      <c r="M61" s="6" t="s">
        <v>681</v>
      </c>
      <c r="N61" s="6" t="s">
        <v>682</v>
      </c>
      <c r="O61" s="1">
        <v>0</v>
      </c>
      <c r="P61" s="6" t="s">
        <v>683</v>
      </c>
    </row>
    <row r="62" s="1" customFormat="1" spans="1:16">
      <c r="A62" s="1" t="s">
        <v>684</v>
      </c>
      <c r="B62" s="6" t="s">
        <v>685</v>
      </c>
      <c r="E62" s="1" t="s">
        <v>684</v>
      </c>
      <c r="F62" s="6" t="s">
        <v>686</v>
      </c>
      <c r="G62" s="6" t="s">
        <v>687</v>
      </c>
      <c r="H62" s="6" t="s">
        <v>688</v>
      </c>
      <c r="I62" s="1">
        <v>0</v>
      </c>
      <c r="J62" s="6" t="s">
        <v>689</v>
      </c>
      <c r="K62" s="6" t="s">
        <v>690</v>
      </c>
      <c r="L62" s="6" t="s">
        <v>691</v>
      </c>
      <c r="M62" s="6" t="s">
        <v>692</v>
      </c>
      <c r="N62" s="6" t="s">
        <v>693</v>
      </c>
      <c r="O62" s="1">
        <v>0</v>
      </c>
      <c r="P62" s="6" t="s">
        <v>694</v>
      </c>
    </row>
    <row r="63" s="1" customFormat="1" spans="1:16">
      <c r="A63" s="1" t="s">
        <v>695</v>
      </c>
      <c r="B63" s="6" t="s">
        <v>696</v>
      </c>
      <c r="E63" s="1" t="s">
        <v>695</v>
      </c>
      <c r="F63" s="6" t="s">
        <v>697</v>
      </c>
      <c r="G63" s="6" t="s">
        <v>698</v>
      </c>
      <c r="H63" s="6" t="s">
        <v>699</v>
      </c>
      <c r="I63" s="1">
        <v>0</v>
      </c>
      <c r="J63" s="6" t="s">
        <v>700</v>
      </c>
      <c r="K63" s="6" t="s">
        <v>701</v>
      </c>
      <c r="L63" s="6" t="s">
        <v>702</v>
      </c>
      <c r="M63" s="6" t="s">
        <v>703</v>
      </c>
      <c r="N63" s="6" t="s">
        <v>704</v>
      </c>
      <c r="O63" s="1">
        <v>0</v>
      </c>
      <c r="P63" s="6" t="s">
        <v>705</v>
      </c>
    </row>
    <row r="64" s="1" customFormat="1" spans="1:16">
      <c r="A64" s="1" t="s">
        <v>706</v>
      </c>
      <c r="B64" s="6" t="s">
        <v>707</v>
      </c>
      <c r="E64" s="1" t="s">
        <v>706</v>
      </c>
      <c r="F64" s="6" t="s">
        <v>708</v>
      </c>
      <c r="G64" s="6" t="s">
        <v>709</v>
      </c>
      <c r="H64" s="6" t="s">
        <v>710</v>
      </c>
      <c r="I64" s="1">
        <v>0</v>
      </c>
      <c r="J64" s="6" t="s">
        <v>711</v>
      </c>
      <c r="K64" s="6" t="s">
        <v>712</v>
      </c>
      <c r="L64" s="6" t="s">
        <v>713</v>
      </c>
      <c r="M64" s="6" t="s">
        <v>714</v>
      </c>
      <c r="N64" s="6" t="s">
        <v>715</v>
      </c>
      <c r="O64" s="1">
        <v>0</v>
      </c>
      <c r="P64" s="6" t="s">
        <v>716</v>
      </c>
    </row>
    <row r="67" s="1" customFormat="1" spans="1:30">
      <c r="U67" s="4"/>
      <c r="V67" s="4"/>
      <c r="Y67" s="4"/>
      <c r="Z67" s="4"/>
      <c r="AC67" s="4"/>
      <c r="AD67" s="4"/>
    </row>
    <row r="68" s="1" customFormat="1" spans="1:30">
      <c r="A68" s="1" t="s">
        <v>717</v>
      </c>
      <c r="J68" s="1" t="s">
        <v>718</v>
      </c>
      <c r="N68" s="1" t="s">
        <v>719</v>
      </c>
      <c r="R68" s="1" t="s">
        <v>720</v>
      </c>
      <c r="U68" s="5"/>
      <c r="V68" s="5"/>
      <c r="Y68" s="5"/>
      <c r="Z68" s="5"/>
      <c r="AC68" s="5"/>
      <c r="AD68" s="5"/>
    </row>
    <row r="69" s="1" customFormat="1" spans="1:30">
      <c r="B69" s="1" t="s">
        <v>721</v>
      </c>
      <c r="C69" s="1" t="s">
        <v>18</v>
      </c>
      <c r="D69" s="1" t="s">
        <v>19</v>
      </c>
      <c r="E69" s="1" t="s">
        <v>722</v>
      </c>
      <c r="F69" s="1" t="s">
        <v>723</v>
      </c>
      <c r="J69" s="1" t="s">
        <v>18</v>
      </c>
      <c r="K69" s="1" t="s">
        <v>19</v>
      </c>
      <c r="N69" s="1" t="s">
        <v>18</v>
      </c>
      <c r="O69" s="1" t="s">
        <v>19</v>
      </c>
      <c r="R69" s="1" t="s">
        <v>18</v>
      </c>
      <c r="S69" s="1" t="s">
        <v>19</v>
      </c>
      <c r="V69" s="5"/>
      <c r="Y69" s="5"/>
      <c r="Z69" s="5"/>
      <c r="AC69" s="5"/>
      <c r="AD69" s="5"/>
    </row>
    <row r="70" s="1" customFormat="1" spans="1:30">
      <c r="A70" s="1" t="s">
        <v>724</v>
      </c>
      <c r="B70" s="1">
        <v>0.698734108</v>
      </c>
      <c r="C70" s="1">
        <v>1.682860537</v>
      </c>
      <c r="D70" s="1">
        <v>0.665526285</v>
      </c>
      <c r="E70" s="1">
        <f t="shared" ref="E70:E79" si="0">C70/D70</f>
        <v>2.52861618681222</v>
      </c>
      <c r="F70" s="1">
        <f t="shared" ref="F70:F79" si="1">LOG10(E70)</f>
        <v>0.402882913725781</v>
      </c>
      <c r="J70" s="3">
        <v>3.801645</v>
      </c>
      <c r="K70" s="3">
        <v>3.32951198</v>
      </c>
      <c r="L70" s="3"/>
      <c r="M70" s="3"/>
      <c r="N70" s="3">
        <v>3.130491</v>
      </c>
      <c r="O70" s="3">
        <v>3.017796</v>
      </c>
      <c r="P70" s="3"/>
      <c r="Q70" s="3"/>
      <c r="R70" s="3">
        <v>3.157915</v>
      </c>
      <c r="S70" s="3">
        <v>3.0609055</v>
      </c>
      <c r="V70" s="5"/>
      <c r="Y70" s="5"/>
      <c r="Z70" s="5"/>
      <c r="AC70" s="5"/>
      <c r="AD70" s="5"/>
    </row>
    <row r="71" s="1" customFormat="1" spans="1:30">
      <c r="A71" s="1" t="s">
        <v>725</v>
      </c>
      <c r="B71" s="1">
        <v>0.108712261</v>
      </c>
      <c r="C71" s="1">
        <v>1.186582096</v>
      </c>
      <c r="D71" s="1">
        <v>0.202781195</v>
      </c>
      <c r="E71" s="1">
        <f t="shared" si="0"/>
        <v>5.85153912324069</v>
      </c>
      <c r="F71" s="1">
        <f t="shared" si="1"/>
        <v>0.767270113058961</v>
      </c>
      <c r="J71" s="3">
        <v>3.728611</v>
      </c>
      <c r="K71" s="3">
        <v>3.39029025</v>
      </c>
      <c r="L71" s="3"/>
      <c r="M71" s="3"/>
      <c r="N71" s="3">
        <v>3.079735</v>
      </c>
      <c r="O71" s="3">
        <v>3.147945</v>
      </c>
      <c r="P71" s="3"/>
      <c r="Q71" s="3"/>
      <c r="R71" s="3">
        <v>3.214291</v>
      </c>
      <c r="S71" s="3">
        <v>3.19626713</v>
      </c>
      <c r="V71" s="5"/>
      <c r="Y71" s="5"/>
      <c r="Z71" s="5"/>
      <c r="AC71" s="5"/>
      <c r="AD71" s="5"/>
    </row>
    <row r="72" s="1" customFormat="1" spans="1:30">
      <c r="A72" s="1" t="s">
        <v>726</v>
      </c>
      <c r="B72" s="1">
        <v>0.066808593</v>
      </c>
      <c r="C72" s="1">
        <v>0.748276556</v>
      </c>
      <c r="D72" s="1">
        <v>0.028821892</v>
      </c>
      <c r="E72" s="1">
        <f t="shared" si="0"/>
        <v>25.9620900668145</v>
      </c>
      <c r="F72" s="1">
        <f t="shared" si="1"/>
        <v>1.41433965222487</v>
      </c>
      <c r="J72" s="3">
        <v>3.699231</v>
      </c>
      <c r="K72" s="3">
        <v>3.35060365</v>
      </c>
      <c r="L72" s="3"/>
      <c r="M72" s="3"/>
      <c r="N72" s="3">
        <v>3.103415</v>
      </c>
      <c r="O72" s="3">
        <v>3.28786194</v>
      </c>
      <c r="P72" s="3"/>
      <c r="Q72" s="3"/>
      <c r="R72" s="3">
        <v>3.186952</v>
      </c>
      <c r="S72" s="3">
        <v>2.7119547</v>
      </c>
      <c r="V72" s="5"/>
      <c r="Y72" s="5"/>
      <c r="Z72" s="5"/>
      <c r="AC72" s="5"/>
      <c r="AD72" s="5"/>
    </row>
    <row r="73" s="1" customFormat="1" spans="1:30">
      <c r="A73" s="1" t="s">
        <v>727</v>
      </c>
      <c r="B73" s="1">
        <v>0.246622559</v>
      </c>
      <c r="C73" s="1">
        <v>0.690125542</v>
      </c>
      <c r="D73" s="1">
        <v>0.203002538</v>
      </c>
      <c r="E73" s="1">
        <f t="shared" si="0"/>
        <v>3.39959070856543</v>
      </c>
      <c r="F73" s="1">
        <f t="shared" si="1"/>
        <v>0.531426633597748</v>
      </c>
      <c r="J73" s="3">
        <v>3.439491</v>
      </c>
      <c r="K73" s="3">
        <v>3.45947662</v>
      </c>
      <c r="L73" s="3"/>
      <c r="M73" s="3"/>
      <c r="N73" s="3">
        <v>3.399522</v>
      </c>
      <c r="O73" s="3">
        <v>3.15324579</v>
      </c>
      <c r="P73" s="3"/>
      <c r="Q73" s="3"/>
      <c r="R73" s="3">
        <v>2.659428</v>
      </c>
      <c r="S73" s="3">
        <v>2.79891701</v>
      </c>
      <c r="V73" s="5"/>
      <c r="Y73" s="5"/>
      <c r="Z73" s="5"/>
      <c r="AC73" s="5"/>
      <c r="AD73" s="5"/>
    </row>
    <row r="74" s="1" customFormat="1" spans="1:30">
      <c r="A74" s="1" t="s">
        <v>728</v>
      </c>
      <c r="B74" s="1">
        <v>1.016540258</v>
      </c>
      <c r="C74" s="1">
        <v>0.648252973</v>
      </c>
      <c r="D74" s="1">
        <v>0.778049205</v>
      </c>
      <c r="E74" s="1">
        <f t="shared" si="0"/>
        <v>0.833177347697438</v>
      </c>
      <c r="F74" s="1">
        <f t="shared" si="1"/>
        <v>-0.079262546097957</v>
      </c>
      <c r="J74" s="3">
        <v>3.490052</v>
      </c>
      <c r="K74" s="3">
        <v>3.19913345</v>
      </c>
      <c r="L74" s="3"/>
      <c r="M74" s="3"/>
      <c r="N74" s="3">
        <v>3.070906</v>
      </c>
      <c r="O74" s="3">
        <v>3.1699623</v>
      </c>
      <c r="P74" s="3"/>
      <c r="Q74" s="3"/>
      <c r="R74" s="3">
        <v>3.005401</v>
      </c>
      <c r="S74" s="3">
        <v>2.90140137</v>
      </c>
      <c r="V74" s="5"/>
      <c r="Y74" s="5"/>
      <c r="Z74" s="5"/>
      <c r="AC74" s="5"/>
      <c r="AD74" s="5"/>
    </row>
    <row r="75" s="1" customFormat="1" spans="1:30">
      <c r="A75" s="1" t="s">
        <v>729</v>
      </c>
      <c r="B75" s="1">
        <v>0.324065391</v>
      </c>
      <c r="C75" s="1">
        <v>0.55287288</v>
      </c>
      <c r="D75" s="1">
        <v>0.356505071</v>
      </c>
      <c r="E75" s="1">
        <f t="shared" si="0"/>
        <v>1.55081350862468</v>
      </c>
      <c r="F75" s="1">
        <f t="shared" si="1"/>
        <v>0.190559575347556</v>
      </c>
      <c r="J75" s="3">
        <v>3.394536</v>
      </c>
      <c r="K75" s="3">
        <v>3.49904671</v>
      </c>
      <c r="L75" s="3"/>
      <c r="M75" s="3"/>
      <c r="N75" s="3">
        <v>3.111891</v>
      </c>
      <c r="O75" s="3">
        <v>3.09313089</v>
      </c>
      <c r="P75" s="3"/>
      <c r="Q75" s="3"/>
      <c r="R75" s="3">
        <v>2.712941</v>
      </c>
      <c r="S75" s="3">
        <v>3.02420604</v>
      </c>
      <c r="V75" s="5"/>
      <c r="Y75" s="5"/>
      <c r="Z75" s="5"/>
      <c r="AC75" s="5"/>
      <c r="AD75" s="5"/>
    </row>
    <row r="76" s="1" customFormat="1" spans="1:30">
      <c r="A76" s="1" t="s">
        <v>730</v>
      </c>
      <c r="B76" s="1">
        <v>0.271610117</v>
      </c>
      <c r="C76" s="1">
        <v>0.376751287</v>
      </c>
      <c r="D76" s="1">
        <v>0.35470486</v>
      </c>
      <c r="E76" s="1">
        <f t="shared" si="0"/>
        <v>1.06215428511467</v>
      </c>
      <c r="F76" s="1">
        <f t="shared" si="1"/>
        <v>0.0261876055469836</v>
      </c>
      <c r="J76" s="3">
        <v>3.590775</v>
      </c>
      <c r="L76" s="3"/>
      <c r="M76" s="3"/>
      <c r="N76" s="3">
        <v>3.399522</v>
      </c>
      <c r="O76" s="3">
        <v>3.19055187</v>
      </c>
      <c r="P76" s="3"/>
      <c r="Q76" s="3"/>
      <c r="R76" s="3">
        <v>2.882908</v>
      </c>
      <c r="V76" s="5"/>
      <c r="Y76" s="5"/>
      <c r="Z76" s="5"/>
      <c r="AC76" s="5"/>
      <c r="AD76" s="5"/>
    </row>
    <row r="77" s="1" customFormat="1" spans="1:30">
      <c r="A77" s="1" t="s">
        <v>731</v>
      </c>
      <c r="B77" s="1">
        <v>0.134660174</v>
      </c>
      <c r="C77" s="1">
        <v>0.318545413</v>
      </c>
      <c r="D77" s="1">
        <v>0.049822987</v>
      </c>
      <c r="E77" s="1">
        <f t="shared" si="0"/>
        <v>6.39354306477048</v>
      </c>
      <c r="F77" s="1">
        <f t="shared" si="1"/>
        <v>0.805741594785242</v>
      </c>
      <c r="J77" s="3">
        <v>3.54094</v>
      </c>
      <c r="L77" s="3"/>
      <c r="M77" s="3"/>
      <c r="N77" s="3">
        <v>3.070906</v>
      </c>
      <c r="O77" s="3">
        <v>2.9798328</v>
      </c>
      <c r="P77" s="3"/>
      <c r="Q77" s="3"/>
      <c r="R77" s="3">
        <v>2.866394</v>
      </c>
      <c r="V77" s="5"/>
      <c r="Y77" s="5"/>
      <c r="Z77" s="5"/>
      <c r="AC77" s="5"/>
      <c r="AD77" s="5"/>
    </row>
    <row r="78" s="1" customFormat="1" spans="1:30">
      <c r="A78" s="1" t="s">
        <v>732</v>
      </c>
      <c r="B78" s="1">
        <v>0.26658322</v>
      </c>
      <c r="C78" s="1">
        <v>0.298421896</v>
      </c>
      <c r="D78" s="1">
        <v>0.145949452</v>
      </c>
      <c r="E78" s="1">
        <f t="shared" si="0"/>
        <v>2.04469350114449</v>
      </c>
      <c r="F78" s="1">
        <f t="shared" si="1"/>
        <v>0.310628216628061</v>
      </c>
      <c r="J78" s="3">
        <v>3.615959</v>
      </c>
      <c r="L78" s="3"/>
      <c r="M78" s="3"/>
      <c r="N78" s="3">
        <v>3.111891</v>
      </c>
      <c r="O78" s="3">
        <v>3.09313089</v>
      </c>
      <c r="P78" s="3"/>
      <c r="Q78" s="3"/>
      <c r="R78" s="3">
        <v>2.997697</v>
      </c>
      <c r="V78" s="5"/>
      <c r="Y78" s="5"/>
      <c r="Z78" s="5"/>
      <c r="AC78" s="5"/>
      <c r="AD78" s="5"/>
    </row>
    <row r="79" s="1" customFormat="1" spans="1:30">
      <c r="A79" s="1" t="s">
        <v>733</v>
      </c>
      <c r="B79" s="1">
        <v>0.138752938</v>
      </c>
      <c r="C79" s="1">
        <v>0.248627991</v>
      </c>
      <c r="D79" s="1">
        <v>0.139111323</v>
      </c>
      <c r="E79" s="1">
        <f t="shared" si="0"/>
        <v>1.78725919384722</v>
      </c>
      <c r="F79" s="1">
        <f t="shared" si="1"/>
        <v>0.252187539799896</v>
      </c>
      <c r="J79" s="3">
        <v>3.752392</v>
      </c>
      <c r="K79" s="3"/>
      <c r="L79" s="3"/>
      <c r="M79" s="3"/>
      <c r="N79" s="3">
        <v>3.15709183</v>
      </c>
      <c r="O79" s="3">
        <v>3.19055187</v>
      </c>
      <c r="P79" s="3"/>
      <c r="Q79" s="3"/>
      <c r="R79" s="3">
        <v>2.855703</v>
      </c>
      <c r="S79" s="3"/>
      <c r="V79" s="5"/>
      <c r="Y79" s="5"/>
      <c r="Z79" s="5"/>
      <c r="AC79" s="5"/>
      <c r="AD79" s="5"/>
    </row>
    <row r="80" s="1" customFormat="1" spans="1:30">
      <c r="J80" s="3">
        <v>3.336368</v>
      </c>
      <c r="K80" s="3"/>
      <c r="L80" s="3"/>
      <c r="M80" s="3"/>
      <c r="N80" s="3">
        <v>3.33591963</v>
      </c>
      <c r="O80" s="3">
        <v>2.9798328</v>
      </c>
      <c r="P80" s="3"/>
      <c r="Q80" s="3"/>
      <c r="R80" s="3">
        <v>2.499872</v>
      </c>
      <c r="S80" s="3"/>
      <c r="V80" s="5"/>
      <c r="Y80" s="5"/>
      <c r="Z80" s="5"/>
      <c r="AC80" s="5"/>
      <c r="AD80" s="5"/>
    </row>
    <row r="81" s="1" customFormat="1" spans="1:30">
      <c r="J81" s="3">
        <v>3.503339</v>
      </c>
      <c r="K81" s="3"/>
      <c r="L81" s="3"/>
      <c r="M81" s="3"/>
      <c r="N81" s="3">
        <v>3.43887589</v>
      </c>
      <c r="O81" s="3">
        <v>2.989493</v>
      </c>
      <c r="P81" s="3"/>
      <c r="Q81" s="3"/>
      <c r="R81" s="3">
        <v>3.004108</v>
      </c>
      <c r="S81" s="3"/>
      <c r="V81" s="5"/>
      <c r="Y81" s="5"/>
      <c r="Z81" s="5"/>
      <c r="AC81" s="5"/>
      <c r="AD81" s="5"/>
    </row>
    <row r="82" s="1" customFormat="1" spans="1:30">
      <c r="A82" s="1" t="s">
        <v>734</v>
      </c>
      <c r="J82" s="3">
        <v>3.425725</v>
      </c>
      <c r="K82" s="3"/>
      <c r="L82" s="3"/>
      <c r="M82" s="3"/>
      <c r="N82" s="3">
        <v>3.212095</v>
      </c>
      <c r="O82" s="3">
        <v>2.818117</v>
      </c>
      <c r="P82" s="3"/>
      <c r="Q82" s="3"/>
      <c r="R82" s="3">
        <v>3.051568</v>
      </c>
      <c r="S82" s="3"/>
      <c r="V82" s="5"/>
      <c r="Y82" s="5"/>
      <c r="Z82" s="5"/>
      <c r="AC82" s="5"/>
      <c r="AD82" s="5"/>
    </row>
    <row r="83" s="1" customFormat="1" spans="1:30">
      <c r="A83" s="1" t="s">
        <v>18</v>
      </c>
      <c r="B83" s="1" t="s">
        <v>19</v>
      </c>
      <c r="C83" s="1" t="s">
        <v>735</v>
      </c>
      <c r="D83" s="1" t="s">
        <v>736</v>
      </c>
      <c r="G83" s="4"/>
      <c r="H83" s="4"/>
      <c r="J83" s="3">
        <v>3.451745</v>
      </c>
      <c r="K83" s="3"/>
      <c r="L83" s="3"/>
      <c r="M83" s="3"/>
      <c r="N83" s="3">
        <v>3.118614</v>
      </c>
      <c r="O83" s="3">
        <v>2.763879</v>
      </c>
      <c r="P83" s="3"/>
      <c r="Q83" s="3"/>
      <c r="R83" s="3">
        <v>2.896689</v>
      </c>
      <c r="S83" s="3"/>
      <c r="V83" s="5"/>
      <c r="Y83" s="5"/>
      <c r="Z83" s="5"/>
      <c r="AC83" s="5"/>
      <c r="AD83" s="5"/>
    </row>
    <row r="84" s="1" customFormat="1" spans="1:30">
      <c r="A84" s="1">
        <v>0.098399</v>
      </c>
      <c r="B84" s="1">
        <v>0.00314471</v>
      </c>
      <c r="C84" s="1">
        <v>0.1680998</v>
      </c>
      <c r="D84" s="1">
        <v>0</v>
      </c>
      <c r="G84" s="5"/>
      <c r="H84" s="5"/>
      <c r="J84" s="3">
        <v>3.614791</v>
      </c>
      <c r="K84" s="3"/>
      <c r="L84" s="3"/>
      <c r="M84" s="3"/>
      <c r="N84" s="3">
        <v>3.250454</v>
      </c>
      <c r="O84" s="3">
        <v>2.996558</v>
      </c>
      <c r="P84" s="3"/>
      <c r="Q84" s="3"/>
      <c r="R84" s="3">
        <v>2.798339</v>
      </c>
      <c r="S84" s="3"/>
      <c r="V84" s="5"/>
      <c r="Y84" s="5"/>
      <c r="Z84" s="5"/>
      <c r="AC84" s="5"/>
      <c r="AD84" s="5"/>
    </row>
    <row r="85" s="1" customFormat="1" spans="1:30">
      <c r="A85" s="1">
        <v>0.68997703</v>
      </c>
      <c r="B85" s="1">
        <v>0.02796654</v>
      </c>
      <c r="C85" s="1">
        <v>0</v>
      </c>
      <c r="D85" s="1">
        <v>0.00855647</v>
      </c>
      <c r="G85" s="5"/>
      <c r="H85" s="5"/>
      <c r="J85" s="3"/>
      <c r="K85" s="3"/>
      <c r="L85" s="3"/>
      <c r="M85" s="3"/>
      <c r="O85" s="3">
        <v>2.956774</v>
      </c>
      <c r="P85" s="3"/>
      <c r="Q85" s="3"/>
      <c r="S85" s="5"/>
      <c r="V85" s="5"/>
      <c r="Y85" s="5"/>
      <c r="Z85" s="5"/>
      <c r="AC85" s="5"/>
      <c r="AD85" s="5"/>
    </row>
    <row r="86" s="1" customFormat="1" spans="1:30">
      <c r="A86" s="1">
        <v>0.07639344</v>
      </c>
      <c r="B86" s="1">
        <v>0.03015759</v>
      </c>
      <c r="C86" s="1">
        <v>0.00440434</v>
      </c>
      <c r="D86" s="1">
        <v>0.01618184</v>
      </c>
      <c r="G86" s="5"/>
      <c r="H86" s="5"/>
      <c r="J86" s="3"/>
      <c r="K86" s="3"/>
      <c r="L86" s="3"/>
      <c r="M86" s="3"/>
      <c r="N86" s="3"/>
      <c r="O86" s="3"/>
      <c r="P86" s="3"/>
      <c r="Q86" s="3"/>
      <c r="S86" s="5"/>
      <c r="V86" s="5"/>
      <c r="Y86" s="5"/>
      <c r="Z86" s="5"/>
      <c r="AC86" s="5"/>
      <c r="AD86" s="5"/>
    </row>
    <row r="87" s="1" customFormat="1" spans="1:30">
      <c r="A87" s="1">
        <v>0.16623224</v>
      </c>
      <c r="B87" s="1">
        <v>0.2488796</v>
      </c>
      <c r="C87" s="1">
        <v>0.07150984</v>
      </c>
      <c r="D87" s="1">
        <v>0.22244826</v>
      </c>
      <c r="G87" s="5"/>
      <c r="H87" s="5"/>
      <c r="J87" s="3"/>
      <c r="K87" s="3"/>
      <c r="L87" s="3"/>
      <c r="M87" s="3"/>
      <c r="N87" s="3"/>
      <c r="O87" s="3"/>
      <c r="P87" s="3"/>
      <c r="Q87" s="3"/>
      <c r="S87" s="3"/>
      <c r="U87" s="5"/>
      <c r="V87" s="5"/>
      <c r="Y87" s="5"/>
      <c r="Z87" s="5"/>
      <c r="AC87" s="5"/>
      <c r="AD87" s="5"/>
    </row>
    <row r="88" s="1" customFormat="1" spans="1:30">
      <c r="A88" s="1">
        <v>0.57066999</v>
      </c>
      <c r="B88" s="1">
        <v>0.05659553</v>
      </c>
      <c r="C88" s="1">
        <v>0.07629729</v>
      </c>
      <c r="D88" s="1">
        <v>0.09386438</v>
      </c>
      <c r="G88" s="5"/>
      <c r="H88" s="5"/>
      <c r="U88" s="5"/>
      <c r="V88" s="5"/>
      <c r="Y88" s="5"/>
      <c r="Z88" s="5"/>
      <c r="AC88" s="5"/>
      <c r="AD88" s="5"/>
    </row>
    <row r="89" s="1" customFormat="1" spans="1:30">
      <c r="A89" s="1">
        <v>0.14339533</v>
      </c>
      <c r="B89" s="1">
        <v>0.01553137</v>
      </c>
      <c r="C89" s="1">
        <v>0.20596848</v>
      </c>
      <c r="D89" s="1">
        <v>0</v>
      </c>
      <c r="G89" s="5"/>
      <c r="H89" s="5"/>
      <c r="U89" s="5"/>
      <c r="V89" s="5"/>
      <c r="Y89" s="5"/>
      <c r="Z89" s="5"/>
      <c r="AC89" s="5"/>
      <c r="AD89" s="5"/>
    </row>
    <row r="90" s="1" customFormat="1" spans="1:30">
      <c r="A90" s="1">
        <v>0.14709763</v>
      </c>
      <c r="B90" s="1">
        <v>0.00319017</v>
      </c>
      <c r="C90" s="1">
        <v>0.17227087</v>
      </c>
      <c r="D90" s="1">
        <v>0.01173615</v>
      </c>
      <c r="G90" s="5"/>
      <c r="H90" s="5"/>
      <c r="U90" s="5"/>
      <c r="V90" s="5"/>
      <c r="Y90" s="5"/>
      <c r="Z90" s="5"/>
      <c r="AC90" s="5"/>
      <c r="AD90" s="5"/>
    </row>
    <row r="91" s="1" customFormat="1" spans="1:30">
      <c r="A91" s="1">
        <v>0.01174572</v>
      </c>
      <c r="B91" s="1">
        <v>0.00429939</v>
      </c>
      <c r="C91" s="1">
        <v>0.00870012</v>
      </c>
      <c r="D91" s="1">
        <v>0.00513676</v>
      </c>
      <c r="G91" s="5"/>
      <c r="H91" s="5"/>
      <c r="U91" s="5"/>
      <c r="V91" s="5"/>
      <c r="Y91" s="5"/>
      <c r="Z91" s="5"/>
      <c r="AC91" s="5"/>
      <c r="AD91" s="5"/>
    </row>
    <row r="92" s="1" customFormat="1" spans="1:30">
      <c r="A92" s="1">
        <v>0.25894924</v>
      </c>
      <c r="B92" s="1">
        <v>0</v>
      </c>
      <c r="C92" s="1">
        <v>0.03562947</v>
      </c>
      <c r="D92" s="1">
        <v>0</v>
      </c>
      <c r="G92" s="5"/>
      <c r="H92" s="5"/>
      <c r="U92" s="5"/>
      <c r="V92" s="5"/>
      <c r="Y92" s="5"/>
      <c r="Z92" s="5"/>
      <c r="AC92" s="5"/>
      <c r="AD92" s="5"/>
    </row>
    <row r="93" s="1" customFormat="1" spans="1:30">
      <c r="A93" s="1">
        <v>0.00360387</v>
      </c>
      <c r="B93" s="1">
        <v>0.12346579</v>
      </c>
      <c r="C93" s="1">
        <v>0.00286185</v>
      </c>
      <c r="D93" s="1">
        <v>0.19068833</v>
      </c>
      <c r="G93" s="5"/>
      <c r="H93" s="5"/>
      <c r="U93" s="5"/>
      <c r="V93" s="5"/>
      <c r="Y93" s="5"/>
      <c r="Z93" s="5"/>
      <c r="AC93" s="5"/>
      <c r="AD93" s="5"/>
    </row>
    <row r="94" s="1" customFormat="1" spans="1:30">
      <c r="A94" s="1">
        <v>0.03485725</v>
      </c>
      <c r="B94" s="1">
        <v>0.10232025</v>
      </c>
      <c r="C94" s="1">
        <v>0.01834883</v>
      </c>
      <c r="D94" s="1">
        <v>0.10824145</v>
      </c>
      <c r="G94" s="5"/>
      <c r="H94" s="5"/>
      <c r="U94" s="5"/>
      <c r="V94" s="5"/>
      <c r="Y94" s="5"/>
      <c r="Z94" s="5"/>
      <c r="AC94" s="5"/>
      <c r="AD94" s="5"/>
    </row>
    <row r="95" s="1" customFormat="1" spans="1:30">
      <c r="B95" s="1">
        <v>0.1870481</v>
      </c>
      <c r="D95" s="1">
        <v>0.12609002</v>
      </c>
      <c r="G95" s="5"/>
      <c r="H95" s="5"/>
      <c r="U95" s="5"/>
      <c r="V95" s="5"/>
      <c r="Y95" s="5"/>
      <c r="Z95" s="5"/>
    </row>
    <row r="96" s="1" customFormat="1" spans="1:30">
      <c r="B96" s="1">
        <v>0.12299474</v>
      </c>
      <c r="D96" s="1">
        <v>0.00787679</v>
      </c>
      <c r="G96" s="5"/>
      <c r="H96" s="5"/>
      <c r="U96" s="5"/>
      <c r="V96" s="5"/>
      <c r="Y96" s="5"/>
      <c r="Z96" s="5"/>
    </row>
    <row r="97" s="1" customFormat="1" spans="1:32">
      <c r="B97" s="1">
        <v>0.00752636</v>
      </c>
      <c r="D97" s="1">
        <v>0.0111916</v>
      </c>
      <c r="G97" s="5"/>
      <c r="H97" s="5"/>
      <c r="U97" s="5"/>
      <c r="V97" s="5"/>
      <c r="Y97" s="5"/>
      <c r="Z97" s="5"/>
    </row>
    <row r="98" s="1" customFormat="1" spans="1:32">
      <c r="B98" s="1">
        <v>0.07545971</v>
      </c>
      <c r="D98" s="1">
        <v>0.01939936</v>
      </c>
      <c r="G98" s="5"/>
      <c r="H98" s="5"/>
      <c r="U98" s="5"/>
      <c r="V98" s="5"/>
      <c r="Y98" s="5"/>
      <c r="Z98" s="5"/>
    </row>
    <row r="99" s="1" customFormat="1" spans="1:32">
      <c r="B99" s="1">
        <v>0.06645813</v>
      </c>
      <c r="D99" s="1">
        <v>0.05170127</v>
      </c>
      <c r="G99" s="5"/>
      <c r="H99" s="5"/>
      <c r="U99" s="5"/>
      <c r="V99" s="5"/>
      <c r="Y99" s="5"/>
      <c r="Z99" s="5"/>
    </row>
    <row r="100" s="1" customFormat="1" spans="1:32">
      <c r="B100" s="1">
        <v>0.00492341</v>
      </c>
      <c r="D100" s="1">
        <v>0.04120589</v>
      </c>
      <c r="G100" s="5"/>
      <c r="H100" s="5"/>
      <c r="U100" s="5"/>
      <c r="V100" s="5"/>
      <c r="Y100" s="5"/>
      <c r="Z100" s="5"/>
    </row>
    <row r="101" s="1" customFormat="1" spans="1:32">
      <c r="B101" s="1">
        <v>0.00158058</v>
      </c>
      <c r="D101" s="1">
        <v>0.00123261</v>
      </c>
      <c r="G101" s="5"/>
      <c r="H101" s="5"/>
    </row>
    <row r="102" s="1" customFormat="1" spans="1:32">
      <c r="B102" s="1">
        <v>0.00021372</v>
      </c>
      <c r="D102" s="1">
        <v>0.00032345</v>
      </c>
      <c r="G102" s="5"/>
      <c r="H102" s="5"/>
    </row>
    <row r="103" s="1" customFormat="1" spans="1:32">
      <c r="A103" s="5"/>
      <c r="B103" s="5">
        <v>0.04787916</v>
      </c>
      <c r="C103" s="5"/>
      <c r="D103" s="5">
        <v>0.01222536</v>
      </c>
      <c r="G103" s="5"/>
      <c r="H103" s="5"/>
      <c r="K103" s="5"/>
      <c r="L103" s="5"/>
      <c r="O103" s="5"/>
      <c r="P103" s="5"/>
    </row>
    <row r="104" s="1" customFormat="1" spans="1:32">
      <c r="A104" s="5"/>
      <c r="B104" s="5"/>
      <c r="C104" s="5"/>
      <c r="D104" s="5"/>
      <c r="G104" s="5"/>
      <c r="H104" s="5"/>
      <c r="K104" s="5"/>
      <c r="L104" s="5"/>
      <c r="O104" s="5"/>
      <c r="P104" s="5"/>
    </row>
    <row r="105" s="1" customFormat="1" spans="1:32">
      <c r="G105" s="5"/>
      <c r="H105" s="5"/>
      <c r="K105" s="5"/>
      <c r="L105" s="5"/>
      <c r="O105" s="5"/>
      <c r="P105" s="5"/>
    </row>
    <row r="109" s="1" customFormat="1" spans="1:32">
      <c r="A109" s="1" t="s">
        <v>737</v>
      </c>
    </row>
    <row r="110" s="1" customFormat="1" spans="1:32">
      <c r="A110" s="1" t="s">
        <v>738</v>
      </c>
      <c r="B110" s="1" t="s">
        <v>739</v>
      </c>
      <c r="C110" s="1" t="s">
        <v>740</v>
      </c>
      <c r="D110" s="1" t="s">
        <v>741</v>
      </c>
      <c r="E110" s="1" t="s">
        <v>742</v>
      </c>
      <c r="F110" s="1" t="s">
        <v>743</v>
      </c>
      <c r="G110" s="1" t="s">
        <v>744</v>
      </c>
      <c r="H110" s="1" t="s">
        <v>745</v>
      </c>
      <c r="I110" s="1" t="s">
        <v>746</v>
      </c>
      <c r="J110" s="1" t="s">
        <v>747</v>
      </c>
      <c r="K110" s="1" t="s">
        <v>748</v>
      </c>
      <c r="L110" s="1" t="s">
        <v>749</v>
      </c>
      <c r="M110" s="1" t="s">
        <v>750</v>
      </c>
      <c r="N110" s="1" t="s">
        <v>751</v>
      </c>
      <c r="O110" s="1" t="s">
        <v>752</v>
      </c>
      <c r="P110" s="1" t="s">
        <v>753</v>
      </c>
      <c r="Q110" s="1" t="s">
        <v>754</v>
      </c>
      <c r="R110" s="1" t="s">
        <v>755</v>
      </c>
      <c r="S110" s="1" t="s">
        <v>756</v>
      </c>
      <c r="T110" s="1" t="s">
        <v>757</v>
      </c>
      <c r="U110" s="1" t="s">
        <v>758</v>
      </c>
      <c r="V110" s="1" t="s">
        <v>759</v>
      </c>
      <c r="W110" s="1" t="s">
        <v>760</v>
      </c>
      <c r="X110" s="1" t="s">
        <v>761</v>
      </c>
      <c r="Y110" s="1" t="s">
        <v>762</v>
      </c>
      <c r="Z110" s="1" t="s">
        <v>763</v>
      </c>
      <c r="AA110" s="1" t="s">
        <v>764</v>
      </c>
      <c r="AB110" s="1" t="s">
        <v>765</v>
      </c>
      <c r="AC110" s="1" t="s">
        <v>766</v>
      </c>
      <c r="AD110" s="1" t="s">
        <v>767</v>
      </c>
      <c r="AE110" s="1" t="s">
        <v>768</v>
      </c>
      <c r="AF110" s="1" t="s">
        <v>769</v>
      </c>
    </row>
    <row r="111" s="1" customFormat="1" spans="1:32">
      <c r="A111" s="1" t="s">
        <v>770</v>
      </c>
      <c r="B111" s="1">
        <v>0.925778996</v>
      </c>
      <c r="C111" s="1">
        <v>1.451741828</v>
      </c>
      <c r="D111" s="1">
        <v>1.103569249</v>
      </c>
      <c r="E111" s="1">
        <v>0.503527146</v>
      </c>
      <c r="F111" s="1">
        <v>2.170310766</v>
      </c>
      <c r="G111" s="1">
        <v>1.533229027</v>
      </c>
      <c r="H111" s="1">
        <v>0.807252161</v>
      </c>
      <c r="I111" s="1">
        <v>1.488781464</v>
      </c>
      <c r="J111" s="1">
        <v>0.184986276</v>
      </c>
      <c r="K111" s="1">
        <v>1.199872303</v>
      </c>
      <c r="L111" s="1">
        <v>1.370254629</v>
      </c>
      <c r="M111" s="1">
        <v>0.792436307</v>
      </c>
      <c r="N111" s="1">
        <v>0.503527146</v>
      </c>
      <c r="O111" s="1">
        <v>0.555382636</v>
      </c>
      <c r="P111" s="1">
        <v>1.851769897</v>
      </c>
      <c r="Q111" s="1">
        <v>1.355438774</v>
      </c>
      <c r="R111" s="1">
        <v>0.036827732</v>
      </c>
      <c r="S111" s="1">
        <v>0.09609115</v>
      </c>
      <c r="T111" s="1">
        <v>0.496119219</v>
      </c>
      <c r="U111" s="1">
        <v>1.829546115</v>
      </c>
      <c r="V111" s="1">
        <v>0.073867368</v>
      </c>
      <c r="W111" s="1">
        <v>2.311061383</v>
      </c>
      <c r="X111" s="1">
        <v>0.570198491</v>
      </c>
      <c r="Y111" s="1">
        <v>1.377662556</v>
      </c>
      <c r="Z111" s="1">
        <v>0.948002778</v>
      </c>
      <c r="AA111" s="1">
        <v>-0.103922884</v>
      </c>
      <c r="AB111" s="1">
        <v>0.459079583</v>
      </c>
      <c r="AC111" s="1">
        <v>1.503597318</v>
      </c>
      <c r="AD111" s="1">
        <v>0.733172889</v>
      </c>
      <c r="AE111" s="1">
        <v>0.459079583</v>
      </c>
      <c r="AF111" s="1">
        <v>0.577606418</v>
      </c>
    </row>
    <row r="112" s="1" customFormat="1" spans="1:32">
      <c r="A112" s="1" t="s">
        <v>771</v>
      </c>
      <c r="B112" s="1">
        <v>0.667817905</v>
      </c>
      <c r="C112" s="1">
        <v>1.067686462</v>
      </c>
      <c r="D112" s="1">
        <v>0.57469783</v>
      </c>
      <c r="E112" s="1">
        <v>0.202217531</v>
      </c>
      <c r="F112" s="1">
        <v>0.930745176</v>
      </c>
      <c r="G112" s="1">
        <v>0.711639117</v>
      </c>
      <c r="H112" s="1">
        <v>0.361069423</v>
      </c>
      <c r="I112" s="1">
        <v>0.739027374</v>
      </c>
      <c r="J112" s="1">
        <v>0.037887987</v>
      </c>
      <c r="K112" s="1">
        <v>0.766415632</v>
      </c>
      <c r="L112" s="1">
        <v>1.232016006</v>
      </c>
      <c r="M112" s="1">
        <v>0.04884329</v>
      </c>
      <c r="N112" s="1">
        <v>-0.071665043</v>
      </c>
      <c r="O112" s="1">
        <v>-0.033321482</v>
      </c>
      <c r="P112" s="1">
        <v>0.848580404</v>
      </c>
      <c r="Q112" s="1">
        <v>0.613041391</v>
      </c>
      <c r="R112" s="1">
        <v>-0.005933225</v>
      </c>
      <c r="S112" s="1">
        <v>0.218650485</v>
      </c>
      <c r="T112" s="1">
        <v>0.273427</v>
      </c>
      <c r="U112" s="1">
        <v>0.328203514</v>
      </c>
      <c r="V112" s="1">
        <v>-0.148352163</v>
      </c>
      <c r="W112" s="1">
        <v>1.659272821</v>
      </c>
      <c r="X112" s="1">
        <v>0.16387397</v>
      </c>
      <c r="Y112" s="1">
        <v>0.487055407</v>
      </c>
      <c r="Z112" s="1">
        <v>0.070753895</v>
      </c>
      <c r="AA112" s="1">
        <v>0.059798592</v>
      </c>
      <c r="AB112" s="1">
        <v>0.152918667</v>
      </c>
      <c r="AC112" s="1">
        <v>0.848580404</v>
      </c>
      <c r="AD112" s="1">
        <v>0.421323589</v>
      </c>
      <c r="AE112" s="1">
        <v>0.185784576</v>
      </c>
      <c r="AF112" s="1">
        <v>-0.093575649</v>
      </c>
    </row>
    <row r="113" s="1" customFormat="1" spans="1:32">
      <c r="A113" s="1" t="s">
        <v>772</v>
      </c>
      <c r="B113" s="1">
        <v>0.186306082</v>
      </c>
      <c r="C113" s="1">
        <v>0.851235619</v>
      </c>
      <c r="D113" s="1">
        <v>0.511697132</v>
      </c>
      <c r="E113" s="1">
        <v>-0.110790094</v>
      </c>
      <c r="F113" s="1">
        <v>1.167195044</v>
      </c>
      <c r="G113" s="1">
        <v>0.389086012</v>
      </c>
      <c r="H113" s="1">
        <v>0.167442833</v>
      </c>
      <c r="I113" s="1">
        <v>0.318348827</v>
      </c>
      <c r="J113" s="1">
        <v>0.011821026</v>
      </c>
      <c r="K113" s="1">
        <v>0.275906516</v>
      </c>
      <c r="L113" s="1">
        <v>0.398517636</v>
      </c>
      <c r="M113" s="1">
        <v>0.106137273</v>
      </c>
      <c r="N113" s="1">
        <v>0.049547525</v>
      </c>
      <c r="O113" s="1">
        <v>0.115568897</v>
      </c>
      <c r="P113" s="1">
        <v>0.695613812</v>
      </c>
      <c r="Q113" s="1">
        <v>0.473970633</v>
      </c>
      <c r="R113" s="1">
        <v>-0.129653343</v>
      </c>
      <c r="S113" s="1">
        <v>-0.02118966</v>
      </c>
      <c r="T113" s="1">
        <v>0.139147959</v>
      </c>
      <c r="U113" s="1">
        <v>0.469254821</v>
      </c>
      <c r="V113" s="1">
        <v>-0.011758035</v>
      </c>
      <c r="W113" s="1">
        <v>1.002141613</v>
      </c>
      <c r="X113" s="1">
        <v>0.054263337</v>
      </c>
      <c r="Y113" s="1">
        <v>0.407949261</v>
      </c>
      <c r="Z113" s="1">
        <v>0.224032581</v>
      </c>
      <c r="AA113" s="1">
        <v>-0.110790094</v>
      </c>
      <c r="AB113" s="1">
        <v>0.025968463</v>
      </c>
      <c r="AC113" s="1">
        <v>0.294769765</v>
      </c>
      <c r="AD113" s="1">
        <v>0.021252651</v>
      </c>
      <c r="AE113" s="1">
        <v>0.209885144</v>
      </c>
      <c r="AF113" s="1">
        <v>0.058979149</v>
      </c>
    </row>
    <row r="114" s="1" customFormat="1" spans="1:32">
      <c r="A114" s="1" t="s">
        <v>773</v>
      </c>
      <c r="B114" s="1">
        <v>4.052317676</v>
      </c>
      <c r="C114" s="1">
        <v>5.633662709</v>
      </c>
      <c r="D114" s="1">
        <v>4.7998626</v>
      </c>
      <c r="E114" s="1">
        <v>3.779176261</v>
      </c>
      <c r="F114" s="1">
        <v>5.461152342</v>
      </c>
      <c r="G114" s="1">
        <v>5.734293756</v>
      </c>
      <c r="H114" s="1">
        <v>3.707296941</v>
      </c>
      <c r="I114" s="1">
        <v>5.303017838</v>
      </c>
      <c r="J114" s="1">
        <v>2.815993377</v>
      </c>
      <c r="K114" s="1">
        <v>4.339834954</v>
      </c>
      <c r="L114" s="1">
        <v>6.093690355</v>
      </c>
      <c r="M114" s="1">
        <v>4.196076315</v>
      </c>
      <c r="N114" s="1">
        <v>4.224828043</v>
      </c>
      <c r="O114" s="1">
        <v>3.44853139</v>
      </c>
      <c r="P114" s="1">
        <v>5.777421348</v>
      </c>
      <c r="Q114" s="1">
        <v>4.656103961</v>
      </c>
      <c r="R114" s="1">
        <v>2.959752016</v>
      </c>
      <c r="S114" s="1">
        <v>3.577914166</v>
      </c>
      <c r="T114" s="1">
        <v>4.311083227</v>
      </c>
      <c r="U114" s="1">
        <v>5.547407525</v>
      </c>
      <c r="V114" s="1">
        <v>3.865431445</v>
      </c>
      <c r="W114" s="1">
        <v>6.064938627</v>
      </c>
      <c r="X114" s="1">
        <v>2.054072588</v>
      </c>
      <c r="Y114" s="1">
        <v>4.713607417</v>
      </c>
      <c r="Z114" s="1">
        <v>3.52041071</v>
      </c>
      <c r="AA114" s="1">
        <v>4.239203907</v>
      </c>
      <c r="AB114" s="1">
        <v>3.563538302</v>
      </c>
      <c r="AC114" s="1">
        <v>5.202386791</v>
      </c>
      <c r="AD114" s="1">
        <v>3.99481422</v>
      </c>
      <c r="AE114" s="1">
        <v>4.411714274</v>
      </c>
      <c r="AF114" s="1">
        <v>3.146638248</v>
      </c>
    </row>
    <row r="115" s="1" customFormat="1" spans="1:32">
      <c r="A115" s="1" t="s">
        <v>774</v>
      </c>
      <c r="B115" s="1">
        <v>1.366232646</v>
      </c>
      <c r="C115" s="1">
        <v>2.178692725</v>
      </c>
      <c r="D115" s="1">
        <v>1.366232646</v>
      </c>
      <c r="E115" s="1">
        <v>1.347767645</v>
      </c>
      <c r="F115" s="1">
        <v>2.686480274</v>
      </c>
      <c r="G115" s="1">
        <v>2.908060295</v>
      </c>
      <c r="H115" s="1">
        <v>1.477022657</v>
      </c>
      <c r="I115" s="1">
        <v>1.864787694</v>
      </c>
      <c r="J115" s="1">
        <v>0.57223757</v>
      </c>
      <c r="K115" s="1">
        <v>1.384697648</v>
      </c>
      <c r="L115" s="1">
        <v>2.898827794</v>
      </c>
      <c r="M115" s="1">
        <v>1.837090192</v>
      </c>
      <c r="N115" s="1">
        <v>1.163117627</v>
      </c>
      <c r="O115" s="1">
        <v>0.812282593</v>
      </c>
      <c r="P115" s="1">
        <v>2.464900252</v>
      </c>
      <c r="Q115" s="1">
        <v>2.344877741</v>
      </c>
      <c r="R115" s="1">
        <v>0.535307566</v>
      </c>
      <c r="S115" s="1">
        <v>0.461447559</v>
      </c>
      <c r="T115" s="1">
        <v>1.061560117</v>
      </c>
      <c r="U115" s="1">
        <v>2.317180238</v>
      </c>
      <c r="V115" s="1">
        <v>0.839980096</v>
      </c>
      <c r="W115" s="1">
        <v>2.760340281</v>
      </c>
      <c r="X115" s="1">
        <v>0.67379508</v>
      </c>
      <c r="Y115" s="1">
        <v>1.81862519</v>
      </c>
      <c r="Z115" s="1">
        <v>1.283140138</v>
      </c>
      <c r="AA115" s="1">
        <v>1.273907637</v>
      </c>
      <c r="AB115" s="1">
        <v>0.747655087</v>
      </c>
      <c r="AC115" s="1">
        <v>1.966345204</v>
      </c>
      <c r="AD115" s="1">
        <v>2.077135215</v>
      </c>
      <c r="AE115" s="1">
        <v>2.640317769</v>
      </c>
      <c r="AF115" s="1">
        <v>0.166007531</v>
      </c>
    </row>
    <row r="116" s="1" customFormat="1" spans="1:32">
      <c r="A116" s="1" t="s">
        <v>775</v>
      </c>
      <c r="B116" s="1">
        <v>1.82959745</v>
      </c>
      <c r="C116" s="1">
        <v>1.80059801</v>
      </c>
      <c r="D116" s="1">
        <v>1.075612016</v>
      </c>
      <c r="E116" s="1">
        <v>0.853282978</v>
      </c>
      <c r="F116" s="1">
        <v>2.448252165</v>
      </c>
      <c r="G116" s="1">
        <v>2.206590167</v>
      </c>
      <c r="H116" s="1">
        <v>1.665267291</v>
      </c>
      <c r="I116" s="1">
        <v>2.709247123</v>
      </c>
      <c r="J116" s="1">
        <v>-0.132697975</v>
      </c>
      <c r="K116" s="1">
        <v>1.80059801</v>
      </c>
      <c r="L116" s="1">
        <v>1.143277375</v>
      </c>
      <c r="M116" s="1">
        <v>0.456957301</v>
      </c>
      <c r="N116" s="1">
        <v>0.911281857</v>
      </c>
      <c r="O116" s="1">
        <v>0.630953939</v>
      </c>
      <c r="P116" s="1">
        <v>2.380586806</v>
      </c>
      <c r="Q116" s="1">
        <v>2.013260569</v>
      </c>
      <c r="R116" s="1">
        <v>0.901615377</v>
      </c>
      <c r="S116" s="1">
        <v>0.824283538</v>
      </c>
      <c r="T116" s="1">
        <v>0.824283538</v>
      </c>
      <c r="U116" s="1">
        <v>1.85859689</v>
      </c>
      <c r="V116" s="1">
        <v>1.442938253</v>
      </c>
      <c r="W116" s="1">
        <v>2.854244322</v>
      </c>
      <c r="X116" s="1">
        <v>-0.084365575</v>
      </c>
      <c r="Y116" s="1">
        <v>1.549269532</v>
      </c>
      <c r="Z116" s="1">
        <v>0.476290261</v>
      </c>
      <c r="AA116" s="1">
        <v>-0.007033736</v>
      </c>
      <c r="AB116" s="1">
        <v>0.756618178</v>
      </c>
      <c r="AC116" s="1">
        <v>2.390253286</v>
      </c>
      <c r="AD116" s="1">
        <v>1.210942735</v>
      </c>
      <c r="AE116" s="1">
        <v>1.674933771</v>
      </c>
      <c r="AF116" s="1">
        <v>-0.316361093</v>
      </c>
    </row>
    <row r="117" s="1" customFormat="1" spans="1:32">
      <c r="A117" s="1" t="s">
        <v>776</v>
      </c>
      <c r="B117" s="1">
        <v>1.675040234</v>
      </c>
      <c r="C117" s="1">
        <v>2.543935653</v>
      </c>
      <c r="D117" s="1">
        <v>1.684091228</v>
      </c>
      <c r="E117" s="1">
        <v>0.570818971</v>
      </c>
      <c r="F117" s="1">
        <v>2.462476708</v>
      </c>
      <c r="G117" s="1">
        <v>2.326711799</v>
      </c>
      <c r="H117" s="1">
        <v>1.131980596</v>
      </c>
      <c r="I117" s="1">
        <v>1.729346197</v>
      </c>
      <c r="J117" s="1">
        <v>-0.117056569</v>
      </c>
      <c r="K117" s="1">
        <v>1.059572645</v>
      </c>
      <c r="L117" s="1">
        <v>2.109487944</v>
      </c>
      <c r="M117" s="1">
        <v>0.543665989</v>
      </c>
      <c r="N117" s="1">
        <v>1.475918367</v>
      </c>
      <c r="O117" s="1">
        <v>0.733736862</v>
      </c>
      <c r="P117" s="1">
        <v>2.634445593</v>
      </c>
      <c r="Q117" s="1">
        <v>1.494020355</v>
      </c>
      <c r="R117" s="1">
        <v>0.009657346</v>
      </c>
      <c r="S117" s="1">
        <v>0.353595116</v>
      </c>
      <c r="T117" s="1">
        <v>1.095776621</v>
      </c>
      <c r="U117" s="1">
        <v>2.905975412</v>
      </c>
      <c r="V117" s="1">
        <v>0.643226923</v>
      </c>
      <c r="W117" s="1">
        <v>2.697802551</v>
      </c>
      <c r="X117" s="1">
        <v>0.389799092</v>
      </c>
      <c r="Y117" s="1">
        <v>1.638836258</v>
      </c>
      <c r="Z117" s="1">
        <v>0.84234879</v>
      </c>
      <c r="AA117" s="1">
        <v>0.923807735</v>
      </c>
      <c r="AB117" s="1">
        <v>0.40790108</v>
      </c>
      <c r="AC117" s="1">
        <v>1.5754793</v>
      </c>
      <c r="AD117" s="1">
        <v>0.597971953</v>
      </c>
      <c r="AE117" s="1">
        <v>1.783652161</v>
      </c>
      <c r="AF117" s="1">
        <v>0.715634874</v>
      </c>
    </row>
    <row r="118" s="1" customFormat="1" spans="1:32">
      <c r="A118" s="1" t="s">
        <v>777</v>
      </c>
      <c r="B118" s="1">
        <v>4.88450815</v>
      </c>
      <c r="C118" s="1">
        <v>6.372018416</v>
      </c>
      <c r="D118" s="1">
        <v>5.33076123</v>
      </c>
      <c r="E118" s="1">
        <v>4.235412761</v>
      </c>
      <c r="F118" s="1">
        <v>7.061682267</v>
      </c>
      <c r="G118" s="1">
        <v>6.02042508</v>
      </c>
      <c r="H118" s="1">
        <v>4.816894047</v>
      </c>
      <c r="I118" s="1">
        <v>5.695877386</v>
      </c>
      <c r="J118" s="1">
        <v>3.478134808</v>
      </c>
      <c r="K118" s="1">
        <v>4.843939688</v>
      </c>
      <c r="L118" s="1">
        <v>6.547815084</v>
      </c>
      <c r="M118" s="1">
        <v>4.532914815</v>
      </c>
      <c r="N118" s="1">
        <v>5.371329692</v>
      </c>
      <c r="O118" s="1">
        <v>4.316549685</v>
      </c>
      <c r="P118" s="1">
        <v>6.128607645</v>
      </c>
      <c r="Q118" s="1">
        <v>5.77701431</v>
      </c>
      <c r="R118" s="1">
        <v>3.451089167</v>
      </c>
      <c r="S118" s="1">
        <v>3.586317373</v>
      </c>
      <c r="T118" s="1">
        <v>4.559960456</v>
      </c>
      <c r="U118" s="1">
        <v>6.655997649</v>
      </c>
      <c r="V118" s="1">
        <v>3.653931476</v>
      </c>
      <c r="W118" s="1">
        <v>6.480200981</v>
      </c>
      <c r="X118" s="1">
        <v>3.437566346</v>
      </c>
      <c r="Y118" s="1">
        <v>5.520080718</v>
      </c>
      <c r="Z118" s="1">
        <v>4.681665841</v>
      </c>
      <c r="AA118" s="1">
        <v>4.330072506</v>
      </c>
      <c r="AB118" s="1">
        <v>4.059616094</v>
      </c>
      <c r="AC118" s="1">
        <v>5.411898154</v>
      </c>
      <c r="AD118" s="1">
        <v>5.398375333</v>
      </c>
      <c r="AE118" s="1">
        <v>5.493035077</v>
      </c>
      <c r="AF118" s="1">
        <v>4.330072506</v>
      </c>
    </row>
    <row r="119" s="1" customFormat="1" spans="1:32">
      <c r="A119" s="1" t="s">
        <v>778</v>
      </c>
      <c r="B119" s="1">
        <v>1.554282123</v>
      </c>
      <c r="C119" s="1">
        <v>2.654291664</v>
      </c>
      <c r="D119" s="1">
        <v>2.000820649</v>
      </c>
      <c r="E119" s="1">
        <v>1.303784901</v>
      </c>
      <c r="F119" s="1">
        <v>2.49092391</v>
      </c>
      <c r="G119" s="1">
        <v>2.686965214</v>
      </c>
      <c r="H119" s="1">
        <v>0.81368164</v>
      </c>
      <c r="I119" s="1">
        <v>2.011711833</v>
      </c>
      <c r="J119" s="1">
        <v>0.432490215</v>
      </c>
      <c r="K119" s="1">
        <v>1.456261471</v>
      </c>
      <c r="L119" s="1">
        <v>2.632509296</v>
      </c>
      <c r="M119" s="1">
        <v>1.57606449</v>
      </c>
      <c r="N119" s="1">
        <v>1.695867509</v>
      </c>
      <c r="O119" s="1">
        <v>0.977049393</v>
      </c>
      <c r="P119" s="1">
        <v>2.621618113</v>
      </c>
      <c r="Q119" s="1">
        <v>2.316664973</v>
      </c>
      <c r="R119" s="1">
        <v>0.258231278</v>
      </c>
      <c r="S119" s="1">
        <v>0.998831761</v>
      </c>
      <c r="T119" s="1">
        <v>1.260220166</v>
      </c>
      <c r="U119" s="1">
        <v>2.512706277</v>
      </c>
      <c r="V119" s="1">
        <v>0.977049393</v>
      </c>
      <c r="W119" s="1">
        <v>3.133503741</v>
      </c>
      <c r="X119" s="1">
        <v>0.879028741</v>
      </c>
      <c r="Y119" s="1">
        <v>1.761214611</v>
      </c>
      <c r="Z119" s="1">
        <v>1.303784901</v>
      </c>
      <c r="AA119" s="1">
        <v>1.238437799</v>
      </c>
      <c r="AB119" s="1">
        <v>1.499826205</v>
      </c>
      <c r="AC119" s="1">
        <v>2.153297219</v>
      </c>
      <c r="AD119" s="1">
        <v>2.000820649</v>
      </c>
      <c r="AE119" s="1">
        <v>1.499826205</v>
      </c>
      <c r="AF119" s="1">
        <v>1.129525963</v>
      </c>
    </row>
    <row r="120" s="1" customFormat="1" spans="1:32">
      <c r="A120" s="1" t="s">
        <v>779</v>
      </c>
      <c r="B120" s="1">
        <v>0.905211982</v>
      </c>
      <c r="C120" s="1">
        <v>1.636501872</v>
      </c>
      <c r="D120" s="1">
        <v>1.338883893</v>
      </c>
      <c r="E120" s="1">
        <v>0.497050183</v>
      </c>
      <c r="F120" s="1">
        <v>2.257247941</v>
      </c>
      <c r="G120" s="1">
        <v>2.053167042</v>
      </c>
      <c r="H120" s="1">
        <v>0.973238948</v>
      </c>
      <c r="I120" s="1">
        <v>1.704528838</v>
      </c>
      <c r="J120" s="1">
        <v>0.607594003</v>
      </c>
      <c r="K120" s="1">
        <v>0.905211982</v>
      </c>
      <c r="L120" s="1">
        <v>1.636501872</v>
      </c>
      <c r="M120" s="1">
        <v>1.245346814</v>
      </c>
      <c r="N120" s="1">
        <v>1.032762544</v>
      </c>
      <c r="O120" s="1">
        <v>1.075279398</v>
      </c>
      <c r="P120" s="1">
        <v>2.002146817</v>
      </c>
      <c r="Q120" s="1">
        <v>1.61949513</v>
      </c>
      <c r="R120" s="1">
        <v>0.480043441</v>
      </c>
      <c r="S120" s="1">
        <v>0.505553554</v>
      </c>
      <c r="T120" s="1">
        <v>0.743647936</v>
      </c>
      <c r="U120" s="1">
        <v>1.82357603</v>
      </c>
      <c r="V120" s="1">
        <v>0.36099625</v>
      </c>
      <c r="W120" s="1">
        <v>2.45282547</v>
      </c>
      <c r="X120" s="1">
        <v>0.47154007</v>
      </c>
      <c r="Y120" s="1">
        <v>1.432420972</v>
      </c>
      <c r="Z120" s="1">
        <v>0.78616479</v>
      </c>
      <c r="AA120" s="1">
        <v>0.599090633</v>
      </c>
      <c r="AB120" s="1">
        <v>0.913715353</v>
      </c>
      <c r="AC120" s="1">
        <v>1.900106367</v>
      </c>
      <c r="AD120" s="1">
        <v>1.09228614</v>
      </c>
      <c r="AE120" s="1">
        <v>1.007252432</v>
      </c>
      <c r="AF120" s="1">
        <v>1.236843444</v>
      </c>
    </row>
    <row r="121" s="1" customFormat="1" spans="1:32">
      <c r="A121" s="1" t="s">
        <v>780</v>
      </c>
      <c r="B121" s="1">
        <v>0.532199505</v>
      </c>
      <c r="C121" s="1">
        <v>1.16352965</v>
      </c>
      <c r="D121" s="1">
        <v>0.557793971</v>
      </c>
      <c r="E121" s="1">
        <v>0.259191875</v>
      </c>
      <c r="F121" s="1">
        <v>0.805207135</v>
      </c>
      <c r="G121" s="1">
        <v>1.206187092</v>
      </c>
      <c r="H121" s="1">
        <v>0.01177871</v>
      </c>
      <c r="I121" s="1">
        <v>0.634577367</v>
      </c>
      <c r="J121" s="1">
        <v>0.335975271</v>
      </c>
      <c r="K121" s="1">
        <v>0.574856947</v>
      </c>
      <c r="L121" s="1">
        <v>0.771081182</v>
      </c>
      <c r="M121" s="1">
        <v>0.276254852</v>
      </c>
      <c r="N121" s="1">
        <v>0.515136528</v>
      </c>
      <c r="O121" s="1">
        <v>0.12268806</v>
      </c>
      <c r="P121" s="1">
        <v>0.796675647</v>
      </c>
      <c r="Q121" s="1">
        <v>1.078214766</v>
      </c>
      <c r="R121" s="1">
        <v>0.080030617</v>
      </c>
      <c r="S121" s="1">
        <v>0.216534433</v>
      </c>
      <c r="T121" s="1">
        <v>0.626045878</v>
      </c>
      <c r="U121" s="1">
        <v>1.0526203</v>
      </c>
      <c r="V121" s="1">
        <v>0.318912294</v>
      </c>
      <c r="W121" s="1">
        <v>1.027025835</v>
      </c>
      <c r="X121" s="1">
        <v>0.12268806</v>
      </c>
      <c r="Y121" s="1">
        <v>0.719892251</v>
      </c>
      <c r="Z121" s="1">
        <v>0.105625083</v>
      </c>
      <c r="AA121" s="1">
        <v>0.515136528</v>
      </c>
      <c r="AB121" s="1">
        <v>0.327443782</v>
      </c>
      <c r="AC121" s="1">
        <v>0.873459043</v>
      </c>
      <c r="AD121" s="1">
        <v>0.481010575</v>
      </c>
      <c r="AE121" s="1">
        <v>-0.047941709</v>
      </c>
      <c r="AF121" s="1">
        <v>0.250660386</v>
      </c>
    </row>
    <row r="122" s="1" customFormat="1" spans="1:32">
      <c r="A122" s="1" t="s">
        <v>781</v>
      </c>
      <c r="B122" s="1">
        <v>0.424038022</v>
      </c>
      <c r="C122" s="1">
        <v>1.180853791</v>
      </c>
      <c r="D122" s="1">
        <v>0.562186932</v>
      </c>
      <c r="E122" s="1">
        <v>0.778420009</v>
      </c>
      <c r="F122" s="1">
        <v>2.051792573</v>
      </c>
      <c r="G122" s="1">
        <v>1.385073919</v>
      </c>
      <c r="H122" s="1">
        <v>0.448063919</v>
      </c>
      <c r="I122" s="1">
        <v>1.463158086</v>
      </c>
      <c r="J122" s="1">
        <v>-0.098525247</v>
      </c>
      <c r="K122" s="1">
        <v>0.448063919</v>
      </c>
      <c r="L122" s="1">
        <v>1.373060971</v>
      </c>
      <c r="M122" s="1">
        <v>0.538161035</v>
      </c>
      <c r="N122" s="1">
        <v>0.381992701</v>
      </c>
      <c r="O122" s="1">
        <v>0.129720778</v>
      </c>
      <c r="P122" s="1">
        <v>1.012672509</v>
      </c>
      <c r="Q122" s="1">
        <v>0.574199881</v>
      </c>
      <c r="R122" s="1">
        <v>-0.146577042</v>
      </c>
      <c r="S122" s="1">
        <v>-0.092518773</v>
      </c>
      <c r="T122" s="1">
        <v>0.201798471</v>
      </c>
      <c r="U122" s="1">
        <v>1.805527125</v>
      </c>
      <c r="V122" s="1">
        <v>0.099688406</v>
      </c>
      <c r="W122" s="1">
        <v>1.997734304</v>
      </c>
      <c r="X122" s="1">
        <v>0.309915009</v>
      </c>
      <c r="Y122" s="1">
        <v>1.270950907</v>
      </c>
      <c r="Z122" s="1">
        <v>0.880530073</v>
      </c>
      <c r="AA122" s="1">
        <v>0.381992701</v>
      </c>
      <c r="AB122" s="1">
        <v>0.333940907</v>
      </c>
      <c r="AC122" s="1">
        <v>0.982640137</v>
      </c>
      <c r="AD122" s="1">
        <v>0.694329368</v>
      </c>
      <c r="AE122" s="1">
        <v>0.748387637</v>
      </c>
      <c r="AF122" s="1">
        <v>2.057799048</v>
      </c>
    </row>
    <row r="123" s="1" customFormat="1" spans="1:32">
      <c r="A123" s="1" t="s">
        <v>782</v>
      </c>
      <c r="B123" s="1">
        <v>0.426831182</v>
      </c>
      <c r="C123" s="1">
        <v>0.984180765</v>
      </c>
      <c r="D123" s="1">
        <v>0.644924497</v>
      </c>
      <c r="E123" s="1">
        <v>0.420773034</v>
      </c>
      <c r="F123" s="1">
        <v>0.996297061</v>
      </c>
      <c r="G123" s="1">
        <v>0.675215236</v>
      </c>
      <c r="H123" s="1">
        <v>0.311726377</v>
      </c>
      <c r="I123" s="1">
        <v>1.044762242</v>
      </c>
      <c r="J123" s="1">
        <v>0.087574914</v>
      </c>
      <c r="K123" s="1">
        <v>0.463180068</v>
      </c>
      <c r="L123" s="1">
        <v>1.165925195</v>
      </c>
      <c r="M123" s="1">
        <v>0.190563424</v>
      </c>
      <c r="N123" s="1">
        <v>0.069400471</v>
      </c>
      <c r="O123" s="1">
        <v>0.232970457</v>
      </c>
      <c r="P123" s="1">
        <v>0.978122618</v>
      </c>
      <c r="Q123" s="1">
        <v>0.905424846</v>
      </c>
      <c r="R123" s="1">
        <v>0.063342323</v>
      </c>
      <c r="S123" s="1">
        <v>0.214796014</v>
      </c>
      <c r="T123" s="1">
        <v>0.360191558</v>
      </c>
      <c r="U123" s="1">
        <v>0.614633759</v>
      </c>
      <c r="V123" s="1">
        <v>-0.130518401</v>
      </c>
      <c r="W123" s="1">
        <v>1.299204443</v>
      </c>
      <c r="X123" s="1">
        <v>0.026993437</v>
      </c>
      <c r="Y123" s="1">
        <v>0.650982645</v>
      </c>
      <c r="Z123" s="1">
        <v>0.451063773</v>
      </c>
      <c r="AA123" s="1">
        <v>-0.039646187</v>
      </c>
      <c r="AB123" s="1">
        <v>0.069400471</v>
      </c>
      <c r="AC123" s="1">
        <v>0.657040793</v>
      </c>
      <c r="AD123" s="1">
        <v>0.360191558</v>
      </c>
      <c r="AE123" s="1">
        <v>0.214796014</v>
      </c>
      <c r="AF123" s="1">
        <v>0.081516766</v>
      </c>
    </row>
    <row r="124" s="1" customFormat="1" spans="1:32">
      <c r="A124" s="1" t="s">
        <v>783</v>
      </c>
      <c r="B124" s="1">
        <v>1.465848031</v>
      </c>
      <c r="C124" s="1">
        <v>2.618927003</v>
      </c>
      <c r="D124" s="1">
        <v>1.355627247</v>
      </c>
      <c r="E124" s="1">
        <v>0.906265589</v>
      </c>
      <c r="F124" s="1">
        <v>2.23739352</v>
      </c>
      <c r="G124" s="1">
        <v>2.093258648</v>
      </c>
      <c r="H124" s="1">
        <v>1.033443417</v>
      </c>
      <c r="I124" s="1">
        <v>2.076301604</v>
      </c>
      <c r="J124" s="1">
        <v>0.499296541</v>
      </c>
      <c r="K124" s="1">
        <v>2.059344561</v>
      </c>
      <c r="L124" s="1">
        <v>2.941110833</v>
      </c>
      <c r="M124" s="1">
        <v>1.024964895</v>
      </c>
      <c r="N124" s="1">
        <v>0.753652196</v>
      </c>
      <c r="O124" s="1">
        <v>1.389541335</v>
      </c>
      <c r="P124" s="1">
        <v>2.457835088</v>
      </c>
      <c r="Q124" s="1">
        <v>1.77955334</v>
      </c>
      <c r="R124" s="1">
        <v>0.041456361</v>
      </c>
      <c r="S124" s="1">
        <v>0.626474368</v>
      </c>
      <c r="T124" s="1">
        <v>0.855394458</v>
      </c>
      <c r="U124" s="1">
        <v>1.999994908</v>
      </c>
      <c r="V124" s="1">
        <v>0.338204626</v>
      </c>
      <c r="W124" s="1">
        <v>2.644362568</v>
      </c>
      <c r="X124" s="1">
        <v>0.126241579</v>
      </c>
      <c r="Y124" s="1">
        <v>1.915209689</v>
      </c>
      <c r="Z124" s="1">
        <v>1.381062813</v>
      </c>
      <c r="AA124" s="1">
        <v>0.872351502</v>
      </c>
      <c r="AB124" s="1">
        <v>0.829958893</v>
      </c>
      <c r="AC124" s="1">
        <v>1.567590294</v>
      </c>
      <c r="AD124" s="1">
        <v>1.576068815</v>
      </c>
      <c r="AE124" s="1">
        <v>1.270842029</v>
      </c>
      <c r="AF124" s="1">
        <v>0.473860975</v>
      </c>
    </row>
    <row r="125" s="1" customFormat="1" spans="1:32">
      <c r="A125" s="1" t="s">
        <v>784</v>
      </c>
      <c r="B125" s="1">
        <v>0.408941144</v>
      </c>
      <c r="C125" s="1">
        <v>0.763066341</v>
      </c>
      <c r="D125" s="1">
        <v>0.529665643</v>
      </c>
      <c r="E125" s="1">
        <v>0.352603045</v>
      </c>
      <c r="F125" s="1">
        <v>1.487413335</v>
      </c>
      <c r="G125" s="1">
        <v>0.843549341</v>
      </c>
      <c r="H125" s="1">
        <v>0.586003743</v>
      </c>
      <c r="I125" s="1">
        <v>0.843549341</v>
      </c>
      <c r="J125" s="1">
        <v>0.143347247</v>
      </c>
      <c r="K125" s="1">
        <v>0.272120046</v>
      </c>
      <c r="L125" s="1">
        <v>0.586003743</v>
      </c>
      <c r="M125" s="1">
        <v>0.199685346</v>
      </c>
      <c r="N125" s="1">
        <v>0.376747945</v>
      </c>
      <c r="O125" s="1">
        <v>0.400892845</v>
      </c>
      <c r="P125" s="1">
        <v>0.99646704</v>
      </c>
      <c r="Q125" s="1">
        <v>0.851597641</v>
      </c>
      <c r="R125" s="1">
        <v>0.030671048</v>
      </c>
      <c r="S125" s="1">
        <v>0.256023446</v>
      </c>
      <c r="T125" s="1">
        <v>0.545762243</v>
      </c>
      <c r="U125" s="1">
        <v>1.358640536</v>
      </c>
      <c r="V125" s="1">
        <v>0.111154047</v>
      </c>
      <c r="W125" s="1">
        <v>1.036708539</v>
      </c>
      <c r="X125" s="1">
        <v>0.167492146</v>
      </c>
      <c r="Y125" s="1">
        <v>0.529665643</v>
      </c>
      <c r="Z125" s="1">
        <v>0.135298947</v>
      </c>
      <c r="AA125" s="1">
        <v>0.199685346</v>
      </c>
      <c r="AB125" s="1">
        <v>0.272120046</v>
      </c>
      <c r="AC125" s="1">
        <v>0.425037744</v>
      </c>
      <c r="AD125" s="1">
        <v>0.416989444</v>
      </c>
      <c r="AE125" s="1">
        <v>0.650390142</v>
      </c>
      <c r="AF125" s="1">
        <v>0.296264945</v>
      </c>
    </row>
    <row r="126" s="1" customFormat="1" spans="1:32">
      <c r="A126" s="1" t="s">
        <v>785</v>
      </c>
      <c r="B126" s="1">
        <v>1.402661758</v>
      </c>
      <c r="C126" s="1">
        <v>2.421502256</v>
      </c>
      <c r="D126" s="1">
        <v>1.816915587</v>
      </c>
      <c r="E126" s="1">
        <v>1.189936819</v>
      </c>
      <c r="F126" s="1">
        <v>2.880540283</v>
      </c>
      <c r="G126" s="1">
        <v>2.387914108</v>
      </c>
      <c r="H126" s="1">
        <v>1.615386697</v>
      </c>
      <c r="I126" s="1">
        <v>2.130404971</v>
      </c>
      <c r="J126" s="1">
        <v>0.786879039</v>
      </c>
      <c r="K126" s="1">
        <v>1.492230153</v>
      </c>
      <c r="L126" s="1">
        <v>2.108012872</v>
      </c>
      <c r="M126" s="1">
        <v>0.96601583</v>
      </c>
      <c r="N126" s="1">
        <v>1.055584225</v>
      </c>
      <c r="O126" s="1">
        <v>1.335485461</v>
      </c>
      <c r="P126" s="1">
        <v>2.186385218</v>
      </c>
      <c r="Q126" s="1">
        <v>2.287149663</v>
      </c>
      <c r="R126" s="1">
        <v>0.943623731</v>
      </c>
      <c r="S126" s="1">
        <v>0.674918545</v>
      </c>
      <c r="T126" s="1">
        <v>1.223524967</v>
      </c>
      <c r="U126" s="1">
        <v>2.656619294</v>
      </c>
      <c r="V126" s="1">
        <v>1.055584225</v>
      </c>
      <c r="W126" s="1">
        <v>2.992500777</v>
      </c>
      <c r="X126" s="1">
        <v>0.977211879</v>
      </c>
      <c r="Y126" s="1">
        <v>2.410306207</v>
      </c>
      <c r="Z126" s="1">
        <v>1.74973929</v>
      </c>
      <c r="AA126" s="1">
        <v>0.350233111</v>
      </c>
      <c r="AB126" s="1">
        <v>1.066780275</v>
      </c>
      <c r="AC126" s="1">
        <v>1.861699784</v>
      </c>
      <c r="AD126" s="1">
        <v>1.402661758</v>
      </c>
      <c r="AE126" s="1">
        <v>1.805719537</v>
      </c>
      <c r="AF126" s="1">
        <v>1.010800028</v>
      </c>
    </row>
    <row r="127" s="1" customFormat="1" spans="1:32">
      <c r="A127" s="1" t="s">
        <v>786</v>
      </c>
      <c r="B127" s="1">
        <v>0.853297826</v>
      </c>
      <c r="C127" s="1">
        <v>1.551209098</v>
      </c>
      <c r="D127" s="1">
        <v>1.29996104</v>
      </c>
      <c r="E127" s="1">
        <v>0.881214277</v>
      </c>
      <c r="F127" s="1">
        <v>2.211898436</v>
      </c>
      <c r="G127" s="1">
        <v>1.625652968</v>
      </c>
      <c r="H127" s="1">
        <v>0.602049768</v>
      </c>
      <c r="I127" s="1">
        <v>0.899825244</v>
      </c>
      <c r="J127" s="1">
        <v>0.788159441</v>
      </c>
      <c r="K127" s="1">
        <v>1.523292648</v>
      </c>
      <c r="L127" s="1">
        <v>1.662874902</v>
      </c>
      <c r="M127" s="1">
        <v>1.076629433</v>
      </c>
      <c r="N127" s="1">
        <v>0.602049768</v>
      </c>
      <c r="O127" s="1">
        <v>1.281350073</v>
      </c>
      <c r="P127" s="1">
        <v>1.821068124</v>
      </c>
      <c r="Q127" s="1">
        <v>1.597736517</v>
      </c>
      <c r="R127" s="1">
        <v>0.713715572</v>
      </c>
      <c r="S127" s="1">
        <v>0.508994932</v>
      </c>
      <c r="T127" s="1">
        <v>0.806770408</v>
      </c>
      <c r="U127" s="1">
        <v>1.70940232</v>
      </c>
      <c r="V127" s="1">
        <v>0.285663325</v>
      </c>
      <c r="W127" s="1">
        <v>2.22120392</v>
      </c>
      <c r="X127" s="1">
        <v>0.425245579</v>
      </c>
      <c r="Y127" s="1">
        <v>1.532598131</v>
      </c>
      <c r="Z127" s="1">
        <v>1.011491048</v>
      </c>
      <c r="AA127" s="1">
        <v>0.992880081</v>
      </c>
      <c r="AB127" s="1">
        <v>0.574133317</v>
      </c>
      <c r="AC127" s="1">
        <v>1.355793942</v>
      </c>
      <c r="AD127" s="1">
        <v>1.383710393</v>
      </c>
      <c r="AE127" s="1">
        <v>0.313579775</v>
      </c>
      <c r="AF127" s="1">
        <v>1.113851368</v>
      </c>
    </row>
    <row r="128" s="1" customFormat="1" spans="1:32">
      <c r="A128" s="1" t="s">
        <v>787</v>
      </c>
      <c r="B128" s="1">
        <v>2.959749349</v>
      </c>
      <c r="C128" s="1">
        <v>5.645358116</v>
      </c>
      <c r="D128" s="1">
        <v>3.748380495</v>
      </c>
      <c r="E128" s="1">
        <v>2.757262974</v>
      </c>
      <c r="F128" s="1">
        <v>4.49438293</v>
      </c>
      <c r="G128" s="1">
        <v>3.023692415</v>
      </c>
      <c r="H128" s="1">
        <v>2.703977085</v>
      </c>
      <c r="I128" s="1">
        <v>3.034349592</v>
      </c>
      <c r="J128" s="1">
        <v>2.288347157</v>
      </c>
      <c r="K128" s="1">
        <v>3.684437429</v>
      </c>
      <c r="L128" s="1">
        <v>5.144470767</v>
      </c>
      <c r="M128" s="1">
        <v>2.597405309</v>
      </c>
      <c r="N128" s="1">
        <v>2.458862</v>
      </c>
      <c r="O128" s="1">
        <v>2.693319908</v>
      </c>
      <c r="P128" s="1">
        <v>3.865609449</v>
      </c>
      <c r="Q128" s="1">
        <v>3.236835968</v>
      </c>
      <c r="R128" s="1">
        <v>1.41445859</v>
      </c>
      <c r="S128" s="1">
        <v>2.480176355</v>
      </c>
      <c r="T128" s="1">
        <v>2.597405309</v>
      </c>
      <c r="U128" s="1">
        <v>4.590297529</v>
      </c>
      <c r="V128" s="1">
        <v>1.979289005</v>
      </c>
      <c r="W128" s="1">
        <v>4.121381713</v>
      </c>
      <c r="X128" s="1">
        <v>3.620494363</v>
      </c>
      <c r="Y128" s="1">
        <v>3.705751784</v>
      </c>
      <c r="Z128" s="1">
        <v>3.40735081</v>
      </c>
      <c r="AA128" s="1">
        <v>1.638259321</v>
      </c>
      <c r="AB128" s="1">
        <v>2.09651796</v>
      </c>
      <c r="AC128" s="1">
        <v>3.258150323</v>
      </c>
      <c r="AD128" s="1">
        <v>3.258150323</v>
      </c>
      <c r="AE128" s="1">
        <v>2.714634263</v>
      </c>
      <c r="AF128" s="1">
        <v>1.723516742</v>
      </c>
    </row>
    <row r="129" s="1" customFormat="1" spans="1:32">
      <c r="A129" s="1" t="s">
        <v>788</v>
      </c>
      <c r="B129" s="1">
        <v>0.759407447</v>
      </c>
      <c r="C129" s="1">
        <v>1.886924868</v>
      </c>
      <c r="D129" s="1">
        <v>1.547224107</v>
      </c>
      <c r="E129" s="1">
        <v>1.171384966</v>
      </c>
      <c r="F129" s="1">
        <v>2.436228228</v>
      </c>
      <c r="G129" s="1">
        <v>1.57613481</v>
      </c>
      <c r="H129" s="1">
        <v>0.954554693</v>
      </c>
      <c r="I129" s="1">
        <v>1.265344751</v>
      </c>
      <c r="J129" s="1">
        <v>0.181193384</v>
      </c>
      <c r="K129" s="1">
        <v>1.149701939</v>
      </c>
      <c r="L129" s="1">
        <v>2.03870606</v>
      </c>
      <c r="M129" s="1">
        <v>0.846139556</v>
      </c>
      <c r="N129" s="1">
        <v>1.120791236</v>
      </c>
      <c r="O129" s="1">
        <v>1.214751021</v>
      </c>
      <c r="P129" s="1">
        <v>1.402670591</v>
      </c>
      <c r="Q129" s="1">
        <v>0.990693072</v>
      </c>
      <c r="R129" s="1">
        <v>0.369112954</v>
      </c>
      <c r="S129" s="1">
        <v>0.810001177</v>
      </c>
      <c r="T129" s="1">
        <v>0.78831815</v>
      </c>
      <c r="U129" s="1">
        <v>2.168804224</v>
      </c>
      <c r="V129" s="1">
        <v>1.236434048</v>
      </c>
      <c r="W129" s="1">
        <v>2.385634497</v>
      </c>
      <c r="X129" s="1">
        <v>1.518313403</v>
      </c>
      <c r="Y129" s="1">
        <v>1.424353618</v>
      </c>
      <c r="Z129" s="1">
        <v>1.633956216</v>
      </c>
      <c r="AA129" s="1">
        <v>0.925643989</v>
      </c>
      <c r="AB129" s="1">
        <v>0.708813716</v>
      </c>
      <c r="AC129" s="1">
        <v>1.330393833</v>
      </c>
      <c r="AD129" s="1">
        <v>1.380987564</v>
      </c>
      <c r="AE129" s="1">
        <v>1.236434048</v>
      </c>
      <c r="AF129" s="1">
        <v>0.470300415</v>
      </c>
    </row>
    <row r="130" s="1" customFormat="1" spans="1:32">
      <c r="A130" s="1" t="s">
        <v>789</v>
      </c>
      <c r="B130" s="1">
        <v>3.361587794</v>
      </c>
      <c r="C130" s="1">
        <v>4.168766594</v>
      </c>
      <c r="D130" s="1">
        <v>3.804967698</v>
      </c>
      <c r="E130" s="1">
        <v>3.441168803</v>
      </c>
      <c r="F130" s="1">
        <v>4.339297326</v>
      </c>
      <c r="G130" s="1">
        <v>3.691280543</v>
      </c>
      <c r="H130" s="1">
        <v>3.782230267</v>
      </c>
      <c r="I130" s="1">
        <v>3.986867146</v>
      </c>
      <c r="J130" s="1">
        <v>3.04326376</v>
      </c>
      <c r="K130" s="1">
        <v>3.782230267</v>
      </c>
      <c r="L130" s="1">
        <v>4.236978887</v>
      </c>
      <c r="M130" s="1">
        <v>4.225610171</v>
      </c>
      <c r="N130" s="1">
        <v>3.986867146</v>
      </c>
      <c r="O130" s="1">
        <v>3.304744217</v>
      </c>
      <c r="P130" s="1">
        <v>3.691280543</v>
      </c>
      <c r="Q130" s="1">
        <v>3.600330819</v>
      </c>
      <c r="R130" s="1">
        <v>3.37295651</v>
      </c>
      <c r="S130" s="1">
        <v>3.895917422</v>
      </c>
      <c r="T130" s="1">
        <v>3.532118526</v>
      </c>
      <c r="U130" s="1">
        <v>3.839073845</v>
      </c>
      <c r="V130" s="1">
        <v>3.452537518</v>
      </c>
      <c r="W130" s="1">
        <v>4.157397878</v>
      </c>
      <c r="X130" s="1">
        <v>2.611252572</v>
      </c>
      <c r="Y130" s="1">
        <v>3.941392284</v>
      </c>
      <c r="Z130" s="1">
        <v>3.748124121</v>
      </c>
      <c r="AA130" s="1">
        <v>2.633990003</v>
      </c>
      <c r="AB130" s="1">
        <v>2.895470459</v>
      </c>
      <c r="AC130" s="1">
        <v>4.293822464</v>
      </c>
      <c r="AD130" s="1">
        <v>2.963682752</v>
      </c>
      <c r="AE130" s="1">
        <v>3.543487242</v>
      </c>
      <c r="AF130" s="1">
        <v>3.668543112</v>
      </c>
    </row>
    <row r="131" s="1" customFormat="1" spans="1:32">
      <c r="A131" s="1" t="s">
        <v>790</v>
      </c>
      <c r="B131" s="1">
        <v>1.939234415</v>
      </c>
      <c r="C131" s="1">
        <v>2.643909346</v>
      </c>
      <c r="D131" s="1">
        <v>1.89716427</v>
      </c>
      <c r="E131" s="1">
        <v>2.107514996</v>
      </c>
      <c r="F131" s="1">
        <v>2.496663838</v>
      </c>
      <c r="G131" s="1">
        <v>2.170620213</v>
      </c>
      <c r="H131" s="1">
        <v>2.033892242</v>
      </c>
      <c r="I131" s="1">
        <v>2.275795576</v>
      </c>
      <c r="J131" s="1">
        <v>1.907681806</v>
      </c>
      <c r="K131" s="1">
        <v>2.34941833</v>
      </c>
      <c r="L131" s="1">
        <v>2.54925152</v>
      </c>
      <c r="M131" s="1">
        <v>1.823541516</v>
      </c>
      <c r="N131" s="1">
        <v>1.518532963</v>
      </c>
      <c r="O131" s="1">
        <v>1.823541516</v>
      </c>
      <c r="P131" s="1">
        <v>2.380970939</v>
      </c>
      <c r="Q131" s="1">
        <v>2.033892242</v>
      </c>
      <c r="R131" s="1">
        <v>1.423875137</v>
      </c>
      <c r="S131" s="1">
        <v>1.486980355</v>
      </c>
      <c r="T131" s="1">
        <v>1.749918762</v>
      </c>
      <c r="U131" s="1">
        <v>2.275795576</v>
      </c>
      <c r="V131" s="1">
        <v>1.518532963</v>
      </c>
      <c r="W131" s="1">
        <v>2.654426883</v>
      </c>
      <c r="X131" s="1">
        <v>1.581638181</v>
      </c>
      <c r="Y131" s="1">
        <v>2.528216447</v>
      </c>
      <c r="Z131" s="1">
        <v>1.970787024</v>
      </c>
      <c r="AA131" s="1">
        <v>1.5290505</v>
      </c>
      <c r="AB131" s="1">
        <v>1.581638181</v>
      </c>
      <c r="AC131" s="1">
        <v>2.496663838</v>
      </c>
      <c r="AD131" s="1">
        <v>1.539568036</v>
      </c>
      <c r="AE131" s="1">
        <v>1.855094125</v>
      </c>
      <c r="AF131" s="1">
        <v>1.81302398</v>
      </c>
    </row>
    <row r="132" s="1" customFormat="1" spans="1:32">
      <c r="A132" s="1" t="s">
        <v>791</v>
      </c>
      <c r="B132" s="1">
        <v>1.769126948</v>
      </c>
      <c r="C132" s="1">
        <v>2.02915837</v>
      </c>
      <c r="D132" s="1">
        <v>1.589105195</v>
      </c>
      <c r="E132" s="1">
        <v>0.955695321</v>
      </c>
      <c r="F132" s="1">
        <v>1.855804089</v>
      </c>
      <c r="G132" s="1">
        <v>1.529097943</v>
      </c>
      <c r="H132" s="1">
        <v>1.149052019</v>
      </c>
      <c r="I132" s="1">
        <v>1.949148702</v>
      </c>
      <c r="J132" s="1">
        <v>0.915690487</v>
      </c>
      <c r="K132" s="1">
        <v>1.449088275</v>
      </c>
      <c r="L132" s="1">
        <v>2.842589997</v>
      </c>
      <c r="M132" s="1">
        <v>0.588984342</v>
      </c>
      <c r="N132" s="1">
        <v>0.722333789</v>
      </c>
      <c r="O132" s="1">
        <v>1.062374879</v>
      </c>
      <c r="P132" s="1">
        <v>1.855804089</v>
      </c>
      <c r="Q132" s="1">
        <v>1.742457059</v>
      </c>
      <c r="R132" s="1">
        <v>0.875685653</v>
      </c>
      <c r="S132" s="1">
        <v>1.20905927</v>
      </c>
      <c r="T132" s="1">
        <v>1.222394215</v>
      </c>
      <c r="U132" s="1">
        <v>1.789129365</v>
      </c>
      <c r="V132" s="1">
        <v>0.729001261</v>
      </c>
      <c r="W132" s="1">
        <v>2.015823425</v>
      </c>
      <c r="X132" s="1">
        <v>1.615775084</v>
      </c>
      <c r="Y132" s="1">
        <v>2.122502983</v>
      </c>
      <c r="Z132" s="1">
        <v>2.02915837</v>
      </c>
      <c r="AA132" s="1">
        <v>0.942360376</v>
      </c>
      <c r="AB132" s="1">
        <v>0.975697738</v>
      </c>
      <c r="AC132" s="1">
        <v>0.962362793</v>
      </c>
      <c r="AD132" s="1">
        <v>1.082377296</v>
      </c>
      <c r="AE132" s="1">
        <v>2.302524736</v>
      </c>
      <c r="AF132" s="1">
        <v>0.575649397</v>
      </c>
    </row>
    <row r="133" s="1" customFormat="1" spans="1:32">
      <c r="A133" s="1" t="s">
        <v>792</v>
      </c>
      <c r="B133" s="1">
        <v>2.272986558</v>
      </c>
      <c r="C133" s="1">
        <v>3.14402188</v>
      </c>
      <c r="D133" s="1">
        <v>2.540236032</v>
      </c>
      <c r="E133" s="1">
        <v>2.421458488</v>
      </c>
      <c r="F133" s="1">
        <v>2.767892991</v>
      </c>
      <c r="G133" s="1">
        <v>2.708504219</v>
      </c>
      <c r="H133" s="1">
        <v>2.362069716</v>
      </c>
      <c r="I133" s="1">
        <v>2.342273458</v>
      </c>
      <c r="J133" s="1">
        <v>2.540236032</v>
      </c>
      <c r="K133" s="1">
        <v>2.757994862</v>
      </c>
      <c r="L133" s="1">
        <v>2.579828546</v>
      </c>
      <c r="M133" s="1">
        <v>2.530337903</v>
      </c>
      <c r="N133" s="1">
        <v>2.510541646</v>
      </c>
      <c r="O133" s="1">
        <v>2.629319189</v>
      </c>
      <c r="P133" s="1">
        <v>2.896568663</v>
      </c>
      <c r="Q133" s="1">
        <v>2.936161178</v>
      </c>
      <c r="R133" s="1">
        <v>2.639217318</v>
      </c>
      <c r="S133" s="1">
        <v>1.847367025</v>
      </c>
      <c r="T133" s="1">
        <v>2.926263049</v>
      </c>
      <c r="U133" s="1">
        <v>2.807485505</v>
      </c>
      <c r="V133" s="1">
        <v>2.362069716</v>
      </c>
      <c r="W133" s="1">
        <v>2.866874277</v>
      </c>
      <c r="X133" s="1">
        <v>2.807485505</v>
      </c>
      <c r="Y133" s="1">
        <v>2.886670535</v>
      </c>
      <c r="Z133" s="1">
        <v>2.55013416</v>
      </c>
      <c r="AA133" s="1">
        <v>2.411560359</v>
      </c>
      <c r="AB133" s="1">
        <v>2.560032289</v>
      </c>
      <c r="AC133" s="1">
        <v>3.064836851</v>
      </c>
      <c r="AD133" s="1">
        <v>2.530337903</v>
      </c>
      <c r="AE133" s="1">
        <v>1.787978253</v>
      </c>
      <c r="AF133" s="1">
        <v>2.530337903</v>
      </c>
    </row>
    <row r="134" s="1" customFormat="1" spans="1:32">
      <c r="A134" s="1" t="s">
        <v>793</v>
      </c>
      <c r="B134" s="1">
        <v>1.115484384</v>
      </c>
      <c r="C134" s="1">
        <v>0.019022085</v>
      </c>
      <c r="D134" s="1">
        <v>0.000247045</v>
      </c>
      <c r="E134" s="1">
        <v>-0.02603801</v>
      </c>
      <c r="F134" s="1">
        <v>0.739983597</v>
      </c>
      <c r="G134" s="1">
        <v>0.146692352</v>
      </c>
      <c r="H134" s="1">
        <v>-0.014772986</v>
      </c>
      <c r="I134" s="1">
        <v>0.022777092</v>
      </c>
      <c r="J134" s="1">
        <v>-0.044813049</v>
      </c>
      <c r="K134" s="1">
        <v>-0.044813049</v>
      </c>
      <c r="L134" s="1">
        <v>0.049062148</v>
      </c>
      <c r="M134" s="1">
        <v>-0.003507963</v>
      </c>
      <c r="N134" s="1">
        <v>0.015267077</v>
      </c>
      <c r="O134" s="1">
        <v>-0.052323065</v>
      </c>
      <c r="P134" s="1">
        <v>0.049062148</v>
      </c>
      <c r="Q134" s="1">
        <v>0.060327171</v>
      </c>
      <c r="R134" s="1">
        <v>-0.003507963</v>
      </c>
      <c r="S134" s="1">
        <v>0.954019046</v>
      </c>
      <c r="T134" s="1">
        <v>-0.037303034</v>
      </c>
      <c r="U134" s="1">
        <v>0.105387266</v>
      </c>
      <c r="V134" s="1">
        <v>-0.044813049</v>
      </c>
      <c r="W134" s="1">
        <v>0.030287108</v>
      </c>
      <c r="X134" s="1">
        <v>-0.037303034</v>
      </c>
      <c r="Y134" s="1">
        <v>0.105387266</v>
      </c>
      <c r="Z134" s="1">
        <v>0.004002053</v>
      </c>
      <c r="AA134" s="1">
        <v>-0.018527994</v>
      </c>
      <c r="AB134" s="1">
        <v>0.004002053</v>
      </c>
      <c r="AC134" s="1">
        <v>0.067837187</v>
      </c>
      <c r="AD134" s="1">
        <v>-0.052323065</v>
      </c>
      <c r="AE134" s="1">
        <v>0.000247045</v>
      </c>
      <c r="AF134" s="1">
        <v>-0.02603801</v>
      </c>
    </row>
    <row r="138" s="1" customFormat="1" spans="1:32">
      <c r="A138" s="1" t="s">
        <v>794</v>
      </c>
      <c r="F138" s="1" t="s">
        <v>795</v>
      </c>
    </row>
    <row r="139" s="1" customFormat="1" spans="1:32">
      <c r="A139" s="1" t="s">
        <v>796</v>
      </c>
      <c r="B139" s="1" t="s">
        <v>797</v>
      </c>
      <c r="C139" s="1" t="s">
        <v>798</v>
      </c>
      <c r="D139" s="1" t="s">
        <v>799</v>
      </c>
      <c r="G139" s="1" t="s">
        <v>18</v>
      </c>
      <c r="H139" s="1" t="s">
        <v>19</v>
      </c>
      <c r="I139" s="1" t="s">
        <v>723</v>
      </c>
    </row>
    <row r="140" s="1" customFormat="1" spans="1:32">
      <c r="A140" s="1" t="s">
        <v>800</v>
      </c>
      <c r="B140" s="1">
        <v>1124</v>
      </c>
      <c r="C140" s="1">
        <v>0</v>
      </c>
      <c r="D140" s="1" t="s">
        <v>19</v>
      </c>
      <c r="F140" s="1" t="s">
        <v>801</v>
      </c>
      <c r="G140" s="1">
        <v>0.292854999</v>
      </c>
      <c r="H140" s="1">
        <v>0.405759614</v>
      </c>
      <c r="I140" s="1">
        <v>-0.141616177</v>
      </c>
    </row>
    <row r="141" s="1" customFormat="1" spans="1:32">
      <c r="A141" s="1" t="s">
        <v>802</v>
      </c>
      <c r="B141" s="1">
        <v>3324</v>
      </c>
      <c r="C141" s="1">
        <v>0</v>
      </c>
      <c r="D141" s="1" t="s">
        <v>19</v>
      </c>
      <c r="F141" s="1" t="s">
        <v>803</v>
      </c>
      <c r="G141" s="1">
        <v>0.17199134</v>
      </c>
      <c r="H141" s="1">
        <v>0.077976361</v>
      </c>
      <c r="I141" s="1">
        <v>0.343543616</v>
      </c>
    </row>
    <row r="142" s="1" customFormat="1" spans="1:32">
      <c r="A142" s="1" t="s">
        <v>804</v>
      </c>
      <c r="B142" s="1">
        <v>31</v>
      </c>
      <c r="C142" s="1">
        <v>0</v>
      </c>
      <c r="D142" s="1" t="s">
        <v>19</v>
      </c>
      <c r="F142" s="1" t="s">
        <v>805</v>
      </c>
      <c r="G142" s="1">
        <v>0.129629553</v>
      </c>
      <c r="H142" s="1">
        <v>0.122244686</v>
      </c>
      <c r="I142" s="1">
        <v>0.025474034</v>
      </c>
    </row>
    <row r="143" s="1" customFormat="1" spans="1:32">
      <c r="A143" s="1" t="s">
        <v>806</v>
      </c>
      <c r="B143" s="1">
        <v>395</v>
      </c>
      <c r="C143" s="1">
        <v>0</v>
      </c>
      <c r="D143" s="1" t="s">
        <v>19</v>
      </c>
      <c r="F143" s="1" t="s">
        <v>807</v>
      </c>
      <c r="G143" s="1">
        <v>0.036188027</v>
      </c>
      <c r="H143" s="1">
        <v>0.299271972</v>
      </c>
      <c r="I143" s="1">
        <v>-0.91750114</v>
      </c>
    </row>
    <row r="144" s="1" customFormat="1" spans="1:32">
      <c r="A144" s="1" t="s">
        <v>808</v>
      </c>
      <c r="B144" s="1">
        <v>1005</v>
      </c>
      <c r="C144" s="1">
        <v>0</v>
      </c>
      <c r="D144" s="1" t="s">
        <v>19</v>
      </c>
    </row>
    <row r="145" s="1" customFormat="1" spans="1:9">
      <c r="A145" s="1" t="s">
        <v>809</v>
      </c>
      <c r="B145" s="1">
        <v>28</v>
      </c>
      <c r="C145" s="1">
        <v>0</v>
      </c>
      <c r="D145" s="1" t="s">
        <v>19</v>
      </c>
      <c r="F145" s="1" t="s">
        <v>810</v>
      </c>
    </row>
    <row r="146" s="1" customFormat="1" spans="1:9">
      <c r="A146" s="1" t="s">
        <v>811</v>
      </c>
      <c r="B146" s="1">
        <v>761</v>
      </c>
      <c r="C146" s="1">
        <v>0</v>
      </c>
      <c r="D146" s="1" t="s">
        <v>19</v>
      </c>
    </row>
    <row r="147" s="1" customFormat="1" spans="1:9">
      <c r="A147" s="1" t="s">
        <v>812</v>
      </c>
      <c r="B147" s="1">
        <v>504</v>
      </c>
      <c r="C147" s="1">
        <v>1</v>
      </c>
      <c r="D147" s="1" t="s">
        <v>19</v>
      </c>
      <c r="F147" s="1" t="s">
        <v>813</v>
      </c>
      <c r="G147" s="1">
        <v>18.0627031</v>
      </c>
      <c r="H147" s="1">
        <v>7.143315458</v>
      </c>
      <c r="I147" s="1">
        <v>0.402882914</v>
      </c>
    </row>
    <row r="148" s="1" customFormat="1" spans="1:9">
      <c r="A148" s="1" t="s">
        <v>814</v>
      </c>
      <c r="B148" s="1">
        <v>424</v>
      </c>
      <c r="C148" s="1">
        <v>0</v>
      </c>
      <c r="D148" s="1" t="s">
        <v>19</v>
      </c>
      <c r="F148" s="1" t="s">
        <v>815</v>
      </c>
      <c r="G148" s="1">
        <v>6.08160168</v>
      </c>
      <c r="H148" s="1">
        <v>3.921555783</v>
      </c>
      <c r="I148" s="1">
        <v>0.190559575</v>
      </c>
    </row>
    <row r="149" s="1" customFormat="1" spans="1:9">
      <c r="A149" s="1" t="s">
        <v>816</v>
      </c>
      <c r="B149" s="1">
        <v>426</v>
      </c>
      <c r="C149" s="1">
        <v>0</v>
      </c>
      <c r="D149" s="1" t="s">
        <v>19</v>
      </c>
      <c r="F149" s="1" t="s">
        <v>817</v>
      </c>
      <c r="G149" s="1">
        <v>1.596707835</v>
      </c>
      <c r="H149" s="1">
        <v>1.503272976</v>
      </c>
      <c r="I149" s="1">
        <v>0.026187606</v>
      </c>
    </row>
    <row r="150" s="1" customFormat="1" spans="1:9">
      <c r="A150" s="1" t="s">
        <v>818</v>
      </c>
      <c r="B150" s="1">
        <v>306</v>
      </c>
      <c r="C150" s="1">
        <v>1</v>
      </c>
      <c r="D150" s="1" t="s">
        <v>19</v>
      </c>
      <c r="F150" s="1" t="s">
        <v>819</v>
      </c>
      <c r="G150" s="1">
        <v>1.143015894</v>
      </c>
      <c r="H150" s="1">
        <v>0.178776599</v>
      </c>
      <c r="I150" s="1">
        <v>0.805741598</v>
      </c>
    </row>
    <row r="151" s="1" customFormat="1" spans="1:9">
      <c r="A151" s="1" t="s">
        <v>820</v>
      </c>
      <c r="B151" s="1">
        <v>1711</v>
      </c>
      <c r="C151" s="1">
        <v>1</v>
      </c>
      <c r="D151" s="1" t="s">
        <v>19</v>
      </c>
      <c r="F151" s="1" t="s">
        <v>821</v>
      </c>
      <c r="G151" s="1">
        <v>0.904657371</v>
      </c>
      <c r="H151" s="1">
        <v>0.470928587</v>
      </c>
      <c r="I151" s="1">
        <v>0.283529072</v>
      </c>
    </row>
    <row r="152" s="1" customFormat="1" spans="1:9">
      <c r="A152" s="1" t="s">
        <v>822</v>
      </c>
      <c r="B152" s="1">
        <v>302</v>
      </c>
      <c r="C152" s="1">
        <v>1</v>
      </c>
      <c r="D152" s="1" t="s">
        <v>19</v>
      </c>
      <c r="F152" s="1" t="s">
        <v>823</v>
      </c>
      <c r="G152" s="1">
        <v>0.884010636</v>
      </c>
      <c r="H152" s="1">
        <v>0.494618038</v>
      </c>
      <c r="I152" s="1">
        <v>0.25218754</v>
      </c>
    </row>
    <row r="153" s="1" customFormat="1" spans="1:9">
      <c r="A153" s="1" t="s">
        <v>824</v>
      </c>
      <c r="B153" s="1">
        <v>766</v>
      </c>
      <c r="C153" s="1">
        <v>0</v>
      </c>
      <c r="D153" s="1" t="s">
        <v>19</v>
      </c>
      <c r="F153" s="1" t="s">
        <v>825</v>
      </c>
      <c r="G153" s="1">
        <v>0.735949801</v>
      </c>
      <c r="H153" s="1">
        <v>1.07070569</v>
      </c>
      <c r="I153" s="1">
        <v>-0.162821918</v>
      </c>
    </row>
    <row r="154" s="1" customFormat="1" spans="1:9">
      <c r="A154" s="1" t="s">
        <v>826</v>
      </c>
      <c r="B154" s="1">
        <v>1020</v>
      </c>
      <c r="C154" s="1">
        <v>0</v>
      </c>
      <c r="D154" s="1" t="s">
        <v>19</v>
      </c>
      <c r="F154" s="1" t="s">
        <v>827</v>
      </c>
      <c r="G154" s="1">
        <v>0.214920535</v>
      </c>
      <c r="H154" s="1">
        <v>0.167394847</v>
      </c>
      <c r="I154" s="1">
        <v>0.108535828</v>
      </c>
    </row>
    <row r="155" s="1" customFormat="1" spans="1:9">
      <c r="A155" s="1" t="s">
        <v>828</v>
      </c>
      <c r="B155" s="1">
        <v>14</v>
      </c>
      <c r="C155" s="1">
        <v>0</v>
      </c>
      <c r="D155" s="1" t="s">
        <v>19</v>
      </c>
      <c r="F155" s="1" t="s">
        <v>829</v>
      </c>
      <c r="G155" s="1">
        <v>0.179983547</v>
      </c>
      <c r="H155" s="1">
        <v>0.17845614</v>
      </c>
      <c r="I155" s="1">
        <v>0.003701311</v>
      </c>
    </row>
    <row r="156" s="1" customFormat="1" spans="1:9">
      <c r="A156" s="1" t="s">
        <v>830</v>
      </c>
      <c r="B156" s="1">
        <v>742</v>
      </c>
      <c r="C156" s="1">
        <v>0</v>
      </c>
      <c r="D156" s="1" t="s">
        <v>19</v>
      </c>
      <c r="F156" s="1" t="s">
        <v>831</v>
      </c>
      <c r="G156" s="1">
        <v>0.171894064</v>
      </c>
      <c r="H156" s="1">
        <v>0.134569613</v>
      </c>
      <c r="I156" s="1">
        <v>0.106313876</v>
      </c>
    </row>
    <row r="157" s="1" customFormat="1" spans="1:9">
      <c r="A157" s="1" t="s">
        <v>832</v>
      </c>
      <c r="B157" s="1">
        <v>1089</v>
      </c>
      <c r="C157" s="1">
        <v>0</v>
      </c>
      <c r="D157" s="1" t="s">
        <v>19</v>
      </c>
      <c r="F157" s="1" t="s">
        <v>833</v>
      </c>
      <c r="G157" s="1">
        <v>0.11779893</v>
      </c>
      <c r="H157" s="1">
        <v>0.177668586</v>
      </c>
      <c r="I157" s="1">
        <v>-0.1784693</v>
      </c>
    </row>
    <row r="158" s="1" customFormat="1" spans="1:9">
      <c r="A158" s="1" t="s">
        <v>834</v>
      </c>
      <c r="B158" s="1">
        <v>476</v>
      </c>
      <c r="C158" s="1">
        <v>0</v>
      </c>
      <c r="D158" s="1" t="s">
        <v>19</v>
      </c>
      <c r="F158" s="1" t="s">
        <v>835</v>
      </c>
      <c r="G158" s="1">
        <v>0.077273692</v>
      </c>
      <c r="H158" s="1">
        <v>0.17599536</v>
      </c>
      <c r="I158" s="1">
        <v>-0.357469556</v>
      </c>
    </row>
    <row r="159" s="1" customFormat="1" spans="1:9">
      <c r="A159" s="1" t="s">
        <v>836</v>
      </c>
      <c r="B159" s="1">
        <v>397</v>
      </c>
      <c r="C159" s="1">
        <v>0</v>
      </c>
      <c r="D159" s="1" t="s">
        <v>19</v>
      </c>
      <c r="F159" s="1" t="s">
        <v>837</v>
      </c>
      <c r="G159" s="1">
        <v>0.035185039</v>
      </c>
      <c r="H159" s="1">
        <v>0.010177334</v>
      </c>
      <c r="I159" s="1">
        <v>0.538724009</v>
      </c>
    </row>
    <row r="160" s="1" customFormat="1" spans="1:9">
      <c r="A160" s="1" t="s">
        <v>838</v>
      </c>
      <c r="B160" s="1">
        <v>1001</v>
      </c>
      <c r="C160" s="1">
        <v>0</v>
      </c>
      <c r="D160" s="1" t="s">
        <v>19</v>
      </c>
      <c r="F160" s="1" t="s">
        <v>839</v>
      </c>
      <c r="G160" s="1">
        <v>0.029549581</v>
      </c>
      <c r="H160" s="1">
        <v>0.015633292</v>
      </c>
      <c r="I160" s="1">
        <v>0.276500887</v>
      </c>
    </row>
    <row r="161" s="1" customFormat="1" spans="1:4">
      <c r="A161" s="1" t="s">
        <v>840</v>
      </c>
      <c r="B161" s="1">
        <v>926</v>
      </c>
      <c r="C161" s="1">
        <v>0</v>
      </c>
      <c r="D161" s="1" t="s">
        <v>19</v>
      </c>
    </row>
    <row r="162" s="1" customFormat="1" spans="1:4">
      <c r="A162" s="1" t="s">
        <v>841</v>
      </c>
      <c r="B162" s="1">
        <v>377</v>
      </c>
      <c r="C162" s="1">
        <v>0</v>
      </c>
      <c r="D162" s="1" t="s">
        <v>19</v>
      </c>
    </row>
    <row r="163" s="1" customFormat="1" spans="1:4">
      <c r="A163" s="1" t="s">
        <v>842</v>
      </c>
      <c r="B163" s="1">
        <v>1074</v>
      </c>
      <c r="C163" s="1">
        <v>0</v>
      </c>
      <c r="D163" s="1" t="s">
        <v>19</v>
      </c>
    </row>
    <row r="164" s="1" customFormat="1" spans="1:4">
      <c r="A164" s="1" t="s">
        <v>843</v>
      </c>
      <c r="B164" s="1">
        <v>335</v>
      </c>
      <c r="C164" s="1">
        <v>1</v>
      </c>
      <c r="D164" s="1" t="s">
        <v>19</v>
      </c>
    </row>
    <row r="165" s="1" customFormat="1" spans="1:4">
      <c r="A165" s="1" t="s">
        <v>844</v>
      </c>
      <c r="B165" s="1">
        <v>952</v>
      </c>
      <c r="C165" s="1">
        <v>0</v>
      </c>
      <c r="D165" s="1" t="s">
        <v>19</v>
      </c>
    </row>
    <row r="166" s="1" customFormat="1" spans="1:4">
      <c r="A166" s="1" t="s">
        <v>845</v>
      </c>
      <c r="B166" s="1">
        <v>701</v>
      </c>
      <c r="C166" s="1">
        <v>0</v>
      </c>
      <c r="D166" s="1" t="s">
        <v>19</v>
      </c>
    </row>
    <row r="167" s="1" customFormat="1" spans="1:4">
      <c r="A167" s="1" t="s">
        <v>846</v>
      </c>
      <c r="B167" s="1">
        <v>672</v>
      </c>
      <c r="C167" s="1">
        <v>0</v>
      </c>
      <c r="D167" s="1" t="s">
        <v>19</v>
      </c>
    </row>
    <row r="168" s="1" customFormat="1" spans="1:4">
      <c r="A168" s="1" t="s">
        <v>847</v>
      </c>
      <c r="B168" s="1">
        <v>1359</v>
      </c>
      <c r="C168" s="1">
        <v>0</v>
      </c>
      <c r="D168" s="1" t="s">
        <v>19</v>
      </c>
    </row>
    <row r="169" s="1" customFormat="1" spans="1:4">
      <c r="A169" s="1" t="s">
        <v>848</v>
      </c>
      <c r="B169" s="1">
        <v>1003</v>
      </c>
      <c r="C169" s="1">
        <v>0</v>
      </c>
      <c r="D169" s="1" t="s">
        <v>19</v>
      </c>
    </row>
    <row r="170" s="1" customFormat="1" spans="1:4">
      <c r="A170" s="1" t="s">
        <v>849</v>
      </c>
      <c r="B170" s="1">
        <v>146</v>
      </c>
      <c r="C170" s="1">
        <v>0</v>
      </c>
      <c r="D170" s="1" t="s">
        <v>19</v>
      </c>
    </row>
    <row r="171" s="1" customFormat="1" spans="1:4">
      <c r="A171" s="1" t="s">
        <v>850</v>
      </c>
      <c r="B171" s="1">
        <v>335</v>
      </c>
      <c r="C171" s="1">
        <v>0</v>
      </c>
      <c r="D171" s="1" t="s">
        <v>19</v>
      </c>
    </row>
    <row r="172" s="1" customFormat="1" spans="1:4">
      <c r="A172" s="1" t="s">
        <v>851</v>
      </c>
      <c r="B172" s="1">
        <v>1126</v>
      </c>
      <c r="C172" s="1">
        <v>0</v>
      </c>
      <c r="D172" s="1" t="s">
        <v>19</v>
      </c>
    </row>
    <row r="173" s="1" customFormat="1" spans="1:4">
      <c r="A173" s="1" t="s">
        <v>852</v>
      </c>
      <c r="B173" s="1">
        <v>2310</v>
      </c>
      <c r="C173" s="1">
        <v>0</v>
      </c>
      <c r="D173" s="1" t="s">
        <v>19</v>
      </c>
    </row>
    <row r="174" s="1" customFormat="1" spans="1:4">
      <c r="A174" s="1" t="s">
        <v>853</v>
      </c>
      <c r="B174" s="1">
        <v>153</v>
      </c>
      <c r="C174" s="1">
        <v>1</v>
      </c>
      <c r="D174" s="1" t="s">
        <v>19</v>
      </c>
    </row>
    <row r="175" s="1" customFormat="1" spans="1:4">
      <c r="A175" s="1" t="s">
        <v>854</v>
      </c>
      <c r="B175" s="1">
        <v>424</v>
      </c>
      <c r="C175" s="1">
        <v>0</v>
      </c>
      <c r="D175" s="1" t="s">
        <v>19</v>
      </c>
    </row>
    <row r="176" s="1" customFormat="1" spans="1:4">
      <c r="A176" s="1" t="s">
        <v>855</v>
      </c>
      <c r="B176" s="1">
        <v>1706</v>
      </c>
      <c r="C176" s="1">
        <v>0</v>
      </c>
      <c r="D176" s="1" t="s">
        <v>19</v>
      </c>
    </row>
    <row r="177" s="1" customFormat="1" spans="1:4">
      <c r="A177" s="1" t="s">
        <v>856</v>
      </c>
      <c r="B177" s="1">
        <v>397</v>
      </c>
      <c r="C177" s="1">
        <v>0</v>
      </c>
      <c r="D177" s="1" t="s">
        <v>19</v>
      </c>
    </row>
    <row r="178" s="1" customFormat="1" spans="1:4">
      <c r="A178" s="1" t="s">
        <v>857</v>
      </c>
      <c r="B178" s="1">
        <v>228</v>
      </c>
      <c r="C178" s="1">
        <v>1</v>
      </c>
      <c r="D178" s="1" t="s">
        <v>19</v>
      </c>
    </row>
    <row r="179" s="1" customFormat="1" spans="1:4">
      <c r="A179" s="1" t="s">
        <v>858</v>
      </c>
      <c r="B179" s="1">
        <v>609</v>
      </c>
      <c r="C179" s="1">
        <v>0</v>
      </c>
      <c r="D179" s="1" t="s">
        <v>19</v>
      </c>
    </row>
    <row r="180" s="1" customFormat="1" spans="1:4">
      <c r="A180" s="1" t="s">
        <v>859</v>
      </c>
      <c r="B180" s="1">
        <v>743</v>
      </c>
      <c r="C180" s="1">
        <v>1</v>
      </c>
      <c r="D180" s="1" t="s">
        <v>19</v>
      </c>
    </row>
    <row r="181" s="1" customFormat="1" spans="1:4">
      <c r="A181" s="1" t="s">
        <v>860</v>
      </c>
      <c r="B181" s="1">
        <v>426</v>
      </c>
      <c r="C181" s="1">
        <v>1</v>
      </c>
      <c r="D181" s="1" t="s">
        <v>19</v>
      </c>
    </row>
    <row r="182" s="1" customFormat="1" spans="1:4">
      <c r="A182" s="1" t="s">
        <v>861</v>
      </c>
      <c r="B182" s="1">
        <v>172</v>
      </c>
      <c r="C182" s="1">
        <v>1</v>
      </c>
      <c r="D182" s="1" t="s">
        <v>19</v>
      </c>
    </row>
    <row r="183" s="1" customFormat="1" spans="1:4">
      <c r="A183" s="1" t="s">
        <v>862</v>
      </c>
      <c r="B183" s="1">
        <v>1188</v>
      </c>
      <c r="C183" s="1">
        <v>1</v>
      </c>
      <c r="D183" s="1" t="s">
        <v>19</v>
      </c>
    </row>
    <row r="184" s="1" customFormat="1" spans="1:4">
      <c r="A184" s="1" t="s">
        <v>863</v>
      </c>
      <c r="B184" s="1">
        <v>4233</v>
      </c>
      <c r="C184" s="1">
        <v>0</v>
      </c>
      <c r="D184" s="1" t="s">
        <v>19</v>
      </c>
    </row>
    <row r="185" s="1" customFormat="1" spans="1:4">
      <c r="A185" s="1" t="s">
        <v>864</v>
      </c>
      <c r="B185" s="1">
        <v>1581</v>
      </c>
      <c r="C185" s="1">
        <v>0</v>
      </c>
      <c r="D185" s="1" t="s">
        <v>19</v>
      </c>
    </row>
    <row r="186" s="1" customFormat="1" spans="1:4">
      <c r="A186" s="1" t="s">
        <v>865</v>
      </c>
      <c r="B186" s="1">
        <v>405</v>
      </c>
      <c r="C186" s="1">
        <v>1</v>
      </c>
      <c r="D186" s="1" t="s">
        <v>19</v>
      </c>
    </row>
    <row r="187" s="1" customFormat="1" spans="1:4">
      <c r="A187" s="1" t="s">
        <v>866</v>
      </c>
      <c r="B187" s="1">
        <v>3974</v>
      </c>
      <c r="C187" s="1">
        <v>0</v>
      </c>
      <c r="D187" s="1" t="s">
        <v>19</v>
      </c>
    </row>
    <row r="188" s="1" customFormat="1" spans="1:4">
      <c r="A188" s="1" t="s">
        <v>867</v>
      </c>
      <c r="B188" s="1">
        <v>49</v>
      </c>
      <c r="C188" s="1">
        <v>1</v>
      </c>
      <c r="D188" s="1" t="s">
        <v>19</v>
      </c>
    </row>
    <row r="189" s="1" customFormat="1" spans="1:4">
      <c r="A189" s="1" t="s">
        <v>868</v>
      </c>
      <c r="B189" s="1">
        <v>518</v>
      </c>
      <c r="C189" s="1">
        <v>0</v>
      </c>
      <c r="D189" s="1" t="s">
        <v>19</v>
      </c>
    </row>
    <row r="190" s="1" customFormat="1" spans="1:4">
      <c r="A190" s="1" t="s">
        <v>869</v>
      </c>
      <c r="B190" s="1">
        <v>1096</v>
      </c>
      <c r="C190" s="1">
        <v>0</v>
      </c>
      <c r="D190" s="1" t="s">
        <v>19</v>
      </c>
    </row>
    <row r="191" s="1" customFormat="1" spans="1:4">
      <c r="A191" s="1" t="s">
        <v>870</v>
      </c>
      <c r="B191" s="1">
        <v>1127</v>
      </c>
      <c r="C191" s="1">
        <v>0</v>
      </c>
      <c r="D191" s="1" t="s">
        <v>19</v>
      </c>
    </row>
    <row r="192" s="1" customFormat="1" spans="1:4">
      <c r="A192" s="1" t="s">
        <v>871</v>
      </c>
      <c r="B192" s="1">
        <v>914</v>
      </c>
      <c r="C192" s="1">
        <v>0</v>
      </c>
      <c r="D192" s="1" t="s">
        <v>19</v>
      </c>
    </row>
    <row r="193" s="1" customFormat="1" spans="1:4">
      <c r="A193" s="1" t="s">
        <v>872</v>
      </c>
      <c r="B193" s="1">
        <v>2683</v>
      </c>
      <c r="C193" s="1">
        <v>0</v>
      </c>
      <c r="D193" s="1" t="s">
        <v>19</v>
      </c>
    </row>
    <row r="194" s="1" customFormat="1" spans="1:4">
      <c r="A194" s="1" t="s">
        <v>873</v>
      </c>
      <c r="B194" s="1">
        <v>153</v>
      </c>
      <c r="C194" s="1">
        <v>1</v>
      </c>
      <c r="D194" s="1" t="s">
        <v>19</v>
      </c>
    </row>
    <row r="195" s="1" customFormat="1" spans="1:4">
      <c r="A195" s="1" t="s">
        <v>874</v>
      </c>
      <c r="B195" s="1">
        <v>371</v>
      </c>
      <c r="C195" s="1">
        <v>0</v>
      </c>
      <c r="D195" s="1" t="s">
        <v>19</v>
      </c>
    </row>
    <row r="196" s="1" customFormat="1" spans="1:4">
      <c r="A196" s="1" t="s">
        <v>875</v>
      </c>
      <c r="B196" s="1">
        <v>1216</v>
      </c>
      <c r="C196" s="1">
        <v>0</v>
      </c>
      <c r="D196" s="1" t="s">
        <v>19</v>
      </c>
    </row>
    <row r="197" s="1" customFormat="1" spans="1:4">
      <c r="A197" s="1" t="s">
        <v>876</v>
      </c>
      <c r="B197" s="1">
        <v>804</v>
      </c>
      <c r="C197" s="1">
        <v>0</v>
      </c>
      <c r="D197" s="1" t="s">
        <v>19</v>
      </c>
    </row>
    <row r="198" s="1" customFormat="1" spans="1:4">
      <c r="A198" s="1" t="s">
        <v>877</v>
      </c>
      <c r="B198" s="1">
        <v>995</v>
      </c>
      <c r="C198" s="1">
        <v>0</v>
      </c>
      <c r="D198" s="1" t="s">
        <v>19</v>
      </c>
    </row>
    <row r="199" s="1" customFormat="1" spans="1:4">
      <c r="A199" s="1" t="s">
        <v>878</v>
      </c>
      <c r="B199" s="1">
        <v>2988</v>
      </c>
      <c r="C199" s="1">
        <v>0</v>
      </c>
      <c r="D199" s="1" t="s">
        <v>19</v>
      </c>
    </row>
    <row r="200" s="1" customFormat="1" spans="1:4">
      <c r="A200" s="1" t="s">
        <v>879</v>
      </c>
      <c r="B200" s="1">
        <v>730</v>
      </c>
      <c r="C200" s="1">
        <v>0</v>
      </c>
      <c r="D200" s="1" t="s">
        <v>19</v>
      </c>
    </row>
    <row r="201" s="1" customFormat="1" spans="1:4">
      <c r="A201" s="1" t="s">
        <v>880</v>
      </c>
      <c r="B201" s="1">
        <v>376</v>
      </c>
      <c r="C201" s="1">
        <v>0</v>
      </c>
      <c r="D201" s="1" t="s">
        <v>19</v>
      </c>
    </row>
    <row r="202" s="1" customFormat="1" spans="1:4">
      <c r="A202" s="1" t="s">
        <v>881</v>
      </c>
      <c r="B202" s="1">
        <v>2600</v>
      </c>
      <c r="C202" s="1">
        <v>0</v>
      </c>
      <c r="D202" s="1" t="s">
        <v>19</v>
      </c>
    </row>
    <row r="203" s="1" customFormat="1" spans="1:4">
      <c r="A203" s="1" t="s">
        <v>882</v>
      </c>
      <c r="B203" s="1">
        <v>456</v>
      </c>
      <c r="C203" s="1">
        <v>0</v>
      </c>
      <c r="D203" s="1" t="s">
        <v>19</v>
      </c>
    </row>
    <row r="204" s="1" customFormat="1" spans="1:4">
      <c r="A204" s="1" t="s">
        <v>883</v>
      </c>
      <c r="B204" s="1">
        <v>4270</v>
      </c>
      <c r="C204" s="1">
        <v>0</v>
      </c>
      <c r="D204" s="1" t="s">
        <v>19</v>
      </c>
    </row>
    <row r="205" s="1" customFormat="1" spans="1:4">
      <c r="A205" s="1" t="s">
        <v>884</v>
      </c>
      <c r="B205" s="1">
        <v>1216</v>
      </c>
      <c r="C205" s="1">
        <v>0</v>
      </c>
      <c r="D205" s="1" t="s">
        <v>19</v>
      </c>
    </row>
    <row r="206" s="1" customFormat="1" spans="1:4">
      <c r="A206" s="1" t="s">
        <v>885</v>
      </c>
      <c r="B206" s="1">
        <v>669</v>
      </c>
      <c r="C206" s="1">
        <v>0</v>
      </c>
      <c r="D206" s="1" t="s">
        <v>19</v>
      </c>
    </row>
    <row r="207" s="1" customFormat="1" spans="1:4">
      <c r="A207" s="1" t="s">
        <v>886</v>
      </c>
      <c r="B207" s="1">
        <v>2821</v>
      </c>
      <c r="C207" s="1">
        <v>1</v>
      </c>
      <c r="D207" s="1" t="s">
        <v>19</v>
      </c>
    </row>
    <row r="208" s="1" customFormat="1" spans="1:4">
      <c r="A208" s="1" t="s">
        <v>887</v>
      </c>
      <c r="B208" s="1">
        <v>357</v>
      </c>
      <c r="C208" s="1">
        <v>1</v>
      </c>
      <c r="D208" s="1" t="s">
        <v>19</v>
      </c>
    </row>
    <row r="209" s="1" customFormat="1" spans="1:4">
      <c r="A209" s="1" t="s">
        <v>888</v>
      </c>
      <c r="B209" s="1">
        <v>943</v>
      </c>
      <c r="C209" s="1">
        <v>0</v>
      </c>
      <c r="D209" s="1" t="s">
        <v>19</v>
      </c>
    </row>
    <row r="210" s="1" customFormat="1" spans="1:4">
      <c r="A210" s="1" t="s">
        <v>889</v>
      </c>
      <c r="B210" s="1">
        <v>1094</v>
      </c>
      <c r="C210" s="1">
        <v>1</v>
      </c>
      <c r="D210" s="1" t="s">
        <v>19</v>
      </c>
    </row>
    <row r="211" s="1" customFormat="1" spans="1:4">
      <c r="A211" s="1" t="s">
        <v>890</v>
      </c>
      <c r="B211" s="1">
        <v>730</v>
      </c>
      <c r="C211" s="1">
        <v>0</v>
      </c>
      <c r="D211" s="1" t="s">
        <v>19</v>
      </c>
    </row>
    <row r="212" s="1" customFormat="1" spans="1:4">
      <c r="A212" s="1" t="s">
        <v>891</v>
      </c>
      <c r="B212" s="1">
        <v>500</v>
      </c>
      <c r="C212" s="1">
        <v>0</v>
      </c>
      <c r="D212" s="1" t="s">
        <v>19</v>
      </c>
    </row>
    <row r="213" s="1" customFormat="1" spans="1:4">
      <c r="A213" s="1" t="s">
        <v>892</v>
      </c>
      <c r="B213" s="1">
        <v>146</v>
      </c>
      <c r="C213" s="1">
        <v>1</v>
      </c>
      <c r="D213" s="1" t="s">
        <v>19</v>
      </c>
    </row>
    <row r="214" s="1" customFormat="1" spans="1:4">
      <c r="A214" s="1" t="s">
        <v>893</v>
      </c>
      <c r="B214" s="1">
        <v>4126</v>
      </c>
      <c r="C214" s="1">
        <v>0</v>
      </c>
      <c r="D214" s="1" t="s">
        <v>19</v>
      </c>
    </row>
    <row r="215" s="1" customFormat="1" spans="1:4">
      <c r="A215" s="1" t="s">
        <v>894</v>
      </c>
      <c r="B215" s="1">
        <v>1301</v>
      </c>
      <c r="C215" s="1">
        <v>0</v>
      </c>
      <c r="D215" s="1" t="s">
        <v>19</v>
      </c>
    </row>
    <row r="216" s="1" customFormat="1" spans="1:4">
      <c r="A216" s="1" t="s">
        <v>895</v>
      </c>
      <c r="B216" s="1">
        <v>2532</v>
      </c>
      <c r="C216" s="1">
        <v>1</v>
      </c>
      <c r="D216" s="1" t="s">
        <v>19</v>
      </c>
    </row>
    <row r="217" s="1" customFormat="1" spans="1:4">
      <c r="A217" s="1" t="s">
        <v>896</v>
      </c>
      <c r="B217" s="1">
        <v>427</v>
      </c>
      <c r="C217" s="1">
        <v>1</v>
      </c>
      <c r="D217" s="1" t="s">
        <v>19</v>
      </c>
    </row>
    <row r="218" s="1" customFormat="1" spans="1:4">
      <c r="A218" s="1" t="s">
        <v>897</v>
      </c>
      <c r="B218" s="1">
        <v>365</v>
      </c>
      <c r="C218" s="1">
        <v>0</v>
      </c>
      <c r="D218" s="1" t="s">
        <v>19</v>
      </c>
    </row>
    <row r="219" s="1" customFormat="1" spans="1:4">
      <c r="A219" s="1" t="s">
        <v>898</v>
      </c>
      <c r="B219" s="1">
        <v>1200</v>
      </c>
      <c r="C219" s="1">
        <v>0</v>
      </c>
      <c r="D219" s="1" t="s">
        <v>19</v>
      </c>
    </row>
    <row r="220" s="1" customFormat="1" spans="1:4">
      <c r="A220" s="1" t="s">
        <v>899</v>
      </c>
      <c r="B220" s="1">
        <v>751</v>
      </c>
      <c r="C220" s="1">
        <v>0</v>
      </c>
      <c r="D220" s="1" t="s">
        <v>19</v>
      </c>
    </row>
    <row r="221" s="1" customFormat="1" spans="1:4">
      <c r="A221" s="1" t="s">
        <v>900</v>
      </c>
      <c r="B221" s="1">
        <v>31</v>
      </c>
      <c r="C221" s="1">
        <v>0</v>
      </c>
      <c r="D221" s="1" t="s">
        <v>19</v>
      </c>
    </row>
    <row r="222" s="1" customFormat="1" spans="1:4">
      <c r="A222" s="1" t="s">
        <v>901</v>
      </c>
      <c r="B222" s="1">
        <v>2375</v>
      </c>
      <c r="C222" s="1">
        <v>0</v>
      </c>
      <c r="D222" s="1" t="s">
        <v>19</v>
      </c>
    </row>
    <row r="223" s="1" customFormat="1" spans="1:4">
      <c r="A223" s="1" t="s">
        <v>902</v>
      </c>
      <c r="B223" s="1">
        <v>578</v>
      </c>
      <c r="C223" s="1">
        <v>0</v>
      </c>
      <c r="D223" s="1" t="s">
        <v>19</v>
      </c>
    </row>
    <row r="224" s="1" customFormat="1" spans="1:4">
      <c r="A224" s="1" t="s">
        <v>903</v>
      </c>
      <c r="B224" s="1">
        <v>16</v>
      </c>
      <c r="C224" s="1">
        <v>0</v>
      </c>
      <c r="D224" s="1" t="s">
        <v>19</v>
      </c>
    </row>
    <row r="225" s="1" customFormat="1" spans="1:4">
      <c r="A225" s="1" t="s">
        <v>904</v>
      </c>
      <c r="B225" s="1">
        <v>887</v>
      </c>
      <c r="C225" s="1">
        <v>0</v>
      </c>
      <c r="D225" s="1" t="s">
        <v>19</v>
      </c>
    </row>
    <row r="226" s="1" customFormat="1" spans="1:4">
      <c r="A226" s="1" t="s">
        <v>905</v>
      </c>
      <c r="B226" s="1">
        <v>945</v>
      </c>
      <c r="C226" s="1">
        <v>0</v>
      </c>
      <c r="D226" s="1" t="s">
        <v>19</v>
      </c>
    </row>
    <row r="227" s="1" customFormat="1" spans="1:4">
      <c r="A227" s="1" t="s">
        <v>906</v>
      </c>
      <c r="B227" s="1">
        <v>1381</v>
      </c>
      <c r="C227" s="1">
        <v>1</v>
      </c>
      <c r="D227" s="1" t="s">
        <v>19</v>
      </c>
    </row>
    <row r="228" s="1" customFormat="1" spans="1:4">
      <c r="A228" s="1" t="s">
        <v>907</v>
      </c>
      <c r="B228" s="1">
        <v>31</v>
      </c>
      <c r="C228" s="1">
        <v>0</v>
      </c>
      <c r="D228" s="1" t="s">
        <v>19</v>
      </c>
    </row>
    <row r="229" s="1" customFormat="1" spans="1:4">
      <c r="A229" s="1" t="s">
        <v>908</v>
      </c>
      <c r="B229" s="1">
        <v>791</v>
      </c>
      <c r="C229" s="1">
        <v>0</v>
      </c>
      <c r="D229" s="1" t="s">
        <v>19</v>
      </c>
    </row>
    <row r="230" s="1" customFormat="1" spans="1:4">
      <c r="A230" s="1" t="s">
        <v>909</v>
      </c>
      <c r="B230" s="1">
        <v>1065</v>
      </c>
      <c r="C230" s="1">
        <v>0</v>
      </c>
      <c r="D230" s="1" t="s">
        <v>19</v>
      </c>
    </row>
    <row r="231" s="1" customFormat="1" spans="1:4">
      <c r="A231" s="1" t="s">
        <v>910</v>
      </c>
      <c r="B231" s="1">
        <v>1431</v>
      </c>
      <c r="C231" s="1">
        <v>0</v>
      </c>
      <c r="D231" s="1" t="s">
        <v>19</v>
      </c>
    </row>
    <row r="232" s="1" customFormat="1" spans="1:4">
      <c r="A232" s="1" t="s">
        <v>911</v>
      </c>
      <c r="B232" s="1">
        <v>1260</v>
      </c>
      <c r="C232" s="1">
        <v>0</v>
      </c>
      <c r="D232" s="1" t="s">
        <v>19</v>
      </c>
    </row>
    <row r="233" s="1" customFormat="1" spans="1:4">
      <c r="A233" s="1" t="s">
        <v>912</v>
      </c>
      <c r="B233" s="1">
        <v>90</v>
      </c>
      <c r="C233" s="1">
        <v>1</v>
      </c>
      <c r="D233" s="1" t="s">
        <v>19</v>
      </c>
    </row>
    <row r="234" s="1" customFormat="1" spans="1:4">
      <c r="A234" s="1" t="s">
        <v>913</v>
      </c>
      <c r="B234" s="1">
        <v>389</v>
      </c>
      <c r="C234" s="1">
        <v>0</v>
      </c>
      <c r="D234" s="1" t="s">
        <v>19</v>
      </c>
    </row>
    <row r="235" s="1" customFormat="1" spans="1:4">
      <c r="A235" s="1" t="s">
        <v>914</v>
      </c>
      <c r="B235" s="1">
        <v>746</v>
      </c>
      <c r="C235" s="1">
        <v>0</v>
      </c>
      <c r="D235" s="1" t="s">
        <v>19</v>
      </c>
    </row>
    <row r="236" s="1" customFormat="1" spans="1:4">
      <c r="A236" s="1" t="s">
        <v>915</v>
      </c>
      <c r="B236" s="1">
        <v>2600</v>
      </c>
      <c r="C236" s="1">
        <v>0</v>
      </c>
      <c r="D236" s="1" t="s">
        <v>19</v>
      </c>
    </row>
    <row r="237" s="1" customFormat="1" spans="1:4">
      <c r="A237" s="1" t="s">
        <v>916</v>
      </c>
      <c r="B237" s="1">
        <v>805</v>
      </c>
      <c r="C237" s="1">
        <v>0</v>
      </c>
      <c r="D237" s="1" t="s">
        <v>19</v>
      </c>
    </row>
    <row r="238" s="1" customFormat="1" spans="1:4">
      <c r="A238" s="1" t="s">
        <v>917</v>
      </c>
      <c r="B238" s="1">
        <v>179</v>
      </c>
      <c r="C238" s="1">
        <v>1</v>
      </c>
      <c r="D238" s="1" t="s">
        <v>19</v>
      </c>
    </row>
    <row r="239" s="1" customFormat="1" spans="1:4">
      <c r="A239" s="1" t="s">
        <v>918</v>
      </c>
      <c r="B239" s="1">
        <v>671</v>
      </c>
      <c r="C239" s="1">
        <v>0</v>
      </c>
      <c r="D239" s="1" t="s">
        <v>19</v>
      </c>
    </row>
    <row r="240" s="1" customFormat="1" spans="1:4">
      <c r="A240" s="1" t="s">
        <v>919</v>
      </c>
      <c r="B240" s="1">
        <v>337</v>
      </c>
      <c r="C240" s="1">
        <v>0</v>
      </c>
      <c r="D240" s="1" t="s">
        <v>19</v>
      </c>
    </row>
    <row r="241" s="1" customFormat="1" spans="1:4">
      <c r="A241" s="1" t="s">
        <v>920</v>
      </c>
      <c r="B241" s="1">
        <v>734</v>
      </c>
      <c r="C241" s="1">
        <v>0</v>
      </c>
      <c r="D241" s="1" t="s">
        <v>19</v>
      </c>
    </row>
    <row r="242" s="1" customFormat="1" spans="1:4">
      <c r="A242" s="1" t="s">
        <v>921</v>
      </c>
      <c r="B242" s="1">
        <v>573</v>
      </c>
      <c r="C242" s="1">
        <v>0</v>
      </c>
      <c r="D242" s="1" t="s">
        <v>19</v>
      </c>
    </row>
    <row r="243" s="1" customFormat="1" spans="1:4">
      <c r="A243" s="1" t="s">
        <v>922</v>
      </c>
      <c r="B243" s="1">
        <v>669</v>
      </c>
      <c r="C243" s="1">
        <v>0</v>
      </c>
      <c r="D243" s="1" t="s">
        <v>19</v>
      </c>
    </row>
    <row r="244" s="1" customFormat="1" spans="1:4">
      <c r="A244" s="1" t="s">
        <v>923</v>
      </c>
      <c r="B244" s="1">
        <v>820</v>
      </c>
      <c r="C244" s="1">
        <v>0</v>
      </c>
      <c r="D244" s="1" t="s">
        <v>19</v>
      </c>
    </row>
    <row r="245" s="1" customFormat="1" spans="1:4">
      <c r="A245" s="1" t="s">
        <v>924</v>
      </c>
      <c r="B245" s="1">
        <v>740</v>
      </c>
      <c r="C245" s="1">
        <v>1</v>
      </c>
      <c r="D245" s="1" t="s">
        <v>19</v>
      </c>
    </row>
    <row r="246" s="1" customFormat="1" spans="1:4">
      <c r="A246" s="1" t="s">
        <v>925</v>
      </c>
      <c r="B246" s="1">
        <v>1493</v>
      </c>
      <c r="C246" s="1">
        <v>1</v>
      </c>
      <c r="D246" s="1" t="s">
        <v>19</v>
      </c>
    </row>
    <row r="247" s="1" customFormat="1" spans="1:4">
      <c r="A247" s="1" t="s">
        <v>926</v>
      </c>
      <c r="B247" s="1">
        <v>555</v>
      </c>
      <c r="C247" s="1">
        <v>0</v>
      </c>
      <c r="D247" s="1" t="s">
        <v>19</v>
      </c>
    </row>
    <row r="248" s="1" customFormat="1" spans="1:4">
      <c r="A248" s="1" t="s">
        <v>927</v>
      </c>
      <c r="B248" s="1">
        <v>543</v>
      </c>
      <c r="C248" s="1">
        <v>0</v>
      </c>
      <c r="D248" s="1" t="s">
        <v>19</v>
      </c>
    </row>
    <row r="249" s="1" customFormat="1" spans="1:4">
      <c r="A249" s="1" t="s">
        <v>928</v>
      </c>
      <c r="B249" s="1">
        <v>383</v>
      </c>
      <c r="C249" s="1">
        <v>0</v>
      </c>
      <c r="D249" s="1" t="s">
        <v>19</v>
      </c>
    </row>
    <row r="250" s="1" customFormat="1" spans="1:4">
      <c r="A250" s="1" t="s">
        <v>929</v>
      </c>
      <c r="B250" s="1">
        <v>362</v>
      </c>
      <c r="C250" s="1">
        <v>0</v>
      </c>
      <c r="D250" s="1" t="s">
        <v>19</v>
      </c>
    </row>
    <row r="251" s="1" customFormat="1" spans="1:4">
      <c r="A251" s="1" t="s">
        <v>930</v>
      </c>
      <c r="B251" s="1">
        <v>1157</v>
      </c>
      <c r="C251" s="1">
        <v>0</v>
      </c>
      <c r="D251" s="1" t="s">
        <v>19</v>
      </c>
    </row>
    <row r="252" s="1" customFormat="1" spans="1:4">
      <c r="A252" s="1" t="s">
        <v>931</v>
      </c>
      <c r="B252" s="1">
        <v>521</v>
      </c>
      <c r="C252" s="1">
        <v>0</v>
      </c>
      <c r="D252" s="1" t="s">
        <v>19</v>
      </c>
    </row>
    <row r="253" s="1" customFormat="1" spans="1:4">
      <c r="A253" s="1" t="s">
        <v>932</v>
      </c>
      <c r="B253" s="1">
        <v>1829</v>
      </c>
      <c r="C253" s="1">
        <v>0</v>
      </c>
      <c r="D253" s="1" t="s">
        <v>19</v>
      </c>
    </row>
    <row r="254" s="1" customFormat="1" spans="1:4">
      <c r="A254" s="1" t="s">
        <v>933</v>
      </c>
      <c r="B254" s="1">
        <v>1881</v>
      </c>
      <c r="C254" s="1">
        <v>1</v>
      </c>
      <c r="D254" s="1" t="s">
        <v>19</v>
      </c>
    </row>
    <row r="255" s="1" customFormat="1" spans="1:4">
      <c r="A255" s="1" t="s">
        <v>934</v>
      </c>
      <c r="B255" s="1">
        <v>627</v>
      </c>
      <c r="C255" s="1">
        <v>0</v>
      </c>
      <c r="D255" s="1" t="s">
        <v>19</v>
      </c>
    </row>
    <row r="256" s="1" customFormat="1" spans="1:4">
      <c r="A256" s="1" t="s">
        <v>935</v>
      </c>
      <c r="B256" s="1">
        <v>1247</v>
      </c>
      <c r="C256" s="1">
        <v>0</v>
      </c>
      <c r="D256" s="1" t="s">
        <v>19</v>
      </c>
    </row>
    <row r="257" s="1" customFormat="1" spans="1:4">
      <c r="A257" s="1" t="s">
        <v>936</v>
      </c>
      <c r="B257" s="1">
        <v>1348</v>
      </c>
      <c r="C257" s="1">
        <v>1</v>
      </c>
      <c r="D257" s="1" t="s">
        <v>19</v>
      </c>
    </row>
    <row r="258" s="1" customFormat="1" spans="1:4">
      <c r="A258" s="1" t="s">
        <v>937</v>
      </c>
      <c r="B258" s="1">
        <v>1035</v>
      </c>
      <c r="C258" s="1">
        <v>0</v>
      </c>
      <c r="D258" s="1" t="s">
        <v>19</v>
      </c>
    </row>
    <row r="259" s="1" customFormat="1" spans="1:4">
      <c r="A259" s="1" t="s">
        <v>938</v>
      </c>
      <c r="B259" s="1">
        <v>244</v>
      </c>
      <c r="C259" s="1">
        <v>0</v>
      </c>
      <c r="D259" s="1" t="s">
        <v>19</v>
      </c>
    </row>
    <row r="260" s="1" customFormat="1" spans="1:4">
      <c r="A260" s="1" t="s">
        <v>939</v>
      </c>
      <c r="B260" s="1">
        <v>153</v>
      </c>
      <c r="C260" s="1">
        <v>1</v>
      </c>
      <c r="D260" s="1" t="s">
        <v>19</v>
      </c>
    </row>
    <row r="261" s="1" customFormat="1" spans="1:4">
      <c r="A261" s="1" t="s">
        <v>940</v>
      </c>
      <c r="B261" s="1">
        <v>457</v>
      </c>
      <c r="C261" s="1">
        <v>0</v>
      </c>
      <c r="D261" s="1" t="s">
        <v>19</v>
      </c>
    </row>
    <row r="262" s="1" customFormat="1" spans="1:4">
      <c r="A262" s="1" t="s">
        <v>941</v>
      </c>
      <c r="B262" s="1">
        <v>379</v>
      </c>
      <c r="C262" s="1">
        <v>0</v>
      </c>
      <c r="D262" s="1" t="s">
        <v>19</v>
      </c>
    </row>
    <row r="263" s="1" customFormat="1" spans="1:4">
      <c r="A263" s="1" t="s">
        <v>942</v>
      </c>
      <c r="B263" s="1">
        <v>457</v>
      </c>
      <c r="C263" s="1">
        <v>0</v>
      </c>
      <c r="D263" s="1" t="s">
        <v>19</v>
      </c>
    </row>
    <row r="264" s="1" customFormat="1" spans="1:4">
      <c r="A264" s="1" t="s">
        <v>943</v>
      </c>
      <c r="B264" s="1">
        <v>1849</v>
      </c>
      <c r="C264" s="1">
        <v>1</v>
      </c>
      <c r="D264" s="1" t="s">
        <v>19</v>
      </c>
    </row>
    <row r="265" s="1" customFormat="1" spans="1:4">
      <c r="A265" s="1" t="s">
        <v>944</v>
      </c>
      <c r="B265" s="1">
        <v>61</v>
      </c>
      <c r="C265" s="1">
        <v>1</v>
      </c>
      <c r="D265" s="1" t="s">
        <v>19</v>
      </c>
    </row>
    <row r="266" s="1" customFormat="1" spans="1:4">
      <c r="A266" s="1" t="s">
        <v>945</v>
      </c>
      <c r="B266" s="1">
        <v>3561</v>
      </c>
      <c r="C266" s="1">
        <v>0</v>
      </c>
      <c r="D266" s="1" t="s">
        <v>19</v>
      </c>
    </row>
    <row r="267" s="1" customFormat="1" spans="1:4">
      <c r="A267" s="1" t="s">
        <v>946</v>
      </c>
      <c r="B267" s="1">
        <v>496</v>
      </c>
      <c r="C267" s="1">
        <v>1</v>
      </c>
      <c r="D267" s="1" t="s">
        <v>19</v>
      </c>
    </row>
    <row r="268" s="1" customFormat="1" spans="1:4">
      <c r="A268" s="1" t="s">
        <v>947</v>
      </c>
      <c r="B268" s="1">
        <v>652</v>
      </c>
      <c r="C268" s="1">
        <v>0</v>
      </c>
      <c r="D268" s="1" t="s">
        <v>19</v>
      </c>
    </row>
    <row r="269" s="1" customFormat="1" spans="1:4">
      <c r="A269" s="1" t="s">
        <v>948</v>
      </c>
      <c r="B269" s="1">
        <v>639</v>
      </c>
      <c r="C269" s="1">
        <v>0</v>
      </c>
      <c r="D269" s="1" t="s">
        <v>19</v>
      </c>
    </row>
    <row r="270" s="1" customFormat="1" spans="1:4">
      <c r="A270" s="1" t="s">
        <v>949</v>
      </c>
      <c r="B270" s="1">
        <v>1035</v>
      </c>
      <c r="C270" s="1">
        <v>0</v>
      </c>
      <c r="D270" s="1" t="s">
        <v>19</v>
      </c>
    </row>
    <row r="271" s="1" customFormat="1" spans="1:4">
      <c r="A271" s="1" t="s">
        <v>950</v>
      </c>
      <c r="B271" s="1">
        <v>1096</v>
      </c>
      <c r="C271" s="1">
        <v>0</v>
      </c>
      <c r="D271" s="1" t="s">
        <v>19</v>
      </c>
    </row>
    <row r="272" s="1" customFormat="1" spans="1:4">
      <c r="A272" s="1" t="s">
        <v>951</v>
      </c>
      <c r="B272" s="1">
        <v>236</v>
      </c>
      <c r="C272" s="1">
        <v>1</v>
      </c>
      <c r="D272" s="1" t="s">
        <v>19</v>
      </c>
    </row>
    <row r="273" s="1" customFormat="1" spans="1:4">
      <c r="A273" s="1" t="s">
        <v>952</v>
      </c>
      <c r="B273" s="1">
        <v>543</v>
      </c>
      <c r="C273" s="1">
        <v>0</v>
      </c>
      <c r="D273" s="1" t="s">
        <v>19</v>
      </c>
    </row>
    <row r="274" s="1" customFormat="1" spans="1:4">
      <c r="A274" s="1" t="s">
        <v>953</v>
      </c>
      <c r="B274" s="1">
        <v>962</v>
      </c>
      <c r="C274" s="1">
        <v>0</v>
      </c>
      <c r="D274" s="1" t="s">
        <v>19</v>
      </c>
    </row>
    <row r="275" s="1" customFormat="1" spans="1:4">
      <c r="A275" s="1" t="s">
        <v>954</v>
      </c>
      <c r="B275" s="1">
        <v>822</v>
      </c>
      <c r="C275" s="1">
        <v>0</v>
      </c>
      <c r="D275" s="1" t="s">
        <v>19</v>
      </c>
    </row>
    <row r="276" s="1" customFormat="1" spans="1:4">
      <c r="A276" s="1" t="s">
        <v>955</v>
      </c>
      <c r="B276" s="1">
        <v>1631</v>
      </c>
      <c r="C276" s="1">
        <v>0</v>
      </c>
      <c r="D276" s="1" t="s">
        <v>19</v>
      </c>
    </row>
    <row r="277" s="1" customFormat="1" spans="1:4">
      <c r="A277" s="1" t="s">
        <v>956</v>
      </c>
      <c r="B277" s="1">
        <v>1127</v>
      </c>
      <c r="C277" s="1">
        <v>0</v>
      </c>
      <c r="D277" s="1" t="s">
        <v>19</v>
      </c>
    </row>
    <row r="278" s="1" customFormat="1" spans="1:4">
      <c r="A278" s="1" t="s">
        <v>957</v>
      </c>
      <c r="B278" s="1">
        <v>987</v>
      </c>
      <c r="C278" s="1">
        <v>0</v>
      </c>
      <c r="D278" s="1" t="s">
        <v>19</v>
      </c>
    </row>
    <row r="279" s="1" customFormat="1" spans="1:4">
      <c r="A279" s="1" t="s">
        <v>958</v>
      </c>
      <c r="B279" s="1">
        <v>1765</v>
      </c>
      <c r="C279" s="1">
        <v>0</v>
      </c>
      <c r="D279" s="1" t="s">
        <v>19</v>
      </c>
    </row>
    <row r="280" s="1" customFormat="1" spans="1:4">
      <c r="A280" s="1" t="s">
        <v>959</v>
      </c>
      <c r="B280" s="1">
        <v>791</v>
      </c>
      <c r="C280" s="1">
        <v>0</v>
      </c>
      <c r="D280" s="1" t="s">
        <v>19</v>
      </c>
    </row>
    <row r="281" s="1" customFormat="1" spans="1:4">
      <c r="A281" s="1" t="s">
        <v>960</v>
      </c>
      <c r="B281" s="1">
        <v>888</v>
      </c>
      <c r="C281" s="1">
        <v>0</v>
      </c>
      <c r="D281" s="1" t="s">
        <v>19</v>
      </c>
    </row>
    <row r="282" s="1" customFormat="1" spans="1:4">
      <c r="A282" s="1" t="s">
        <v>961</v>
      </c>
      <c r="B282" s="1">
        <v>256</v>
      </c>
      <c r="C282" s="1">
        <v>1</v>
      </c>
      <c r="D282" s="1" t="s">
        <v>19</v>
      </c>
    </row>
    <row r="283" s="1" customFormat="1" spans="1:4">
      <c r="A283" s="1" t="s">
        <v>962</v>
      </c>
      <c r="B283" s="1">
        <v>731</v>
      </c>
      <c r="C283" s="1">
        <v>0</v>
      </c>
      <c r="D283" s="1" t="s">
        <v>19</v>
      </c>
    </row>
    <row r="284" s="1" customFormat="1" spans="1:4">
      <c r="A284" s="1" t="s">
        <v>963</v>
      </c>
      <c r="B284" s="1">
        <v>670</v>
      </c>
      <c r="C284" s="1">
        <v>0</v>
      </c>
      <c r="D284" s="1" t="s">
        <v>19</v>
      </c>
    </row>
    <row r="285" s="1" customFormat="1" spans="1:4">
      <c r="A285" s="1" t="s">
        <v>964</v>
      </c>
      <c r="B285" s="1">
        <v>4051</v>
      </c>
      <c r="C285" s="1">
        <v>0</v>
      </c>
      <c r="D285" s="1" t="s">
        <v>19</v>
      </c>
    </row>
    <row r="286" s="1" customFormat="1" spans="1:4">
      <c r="A286" s="1" t="s">
        <v>965</v>
      </c>
      <c r="B286" s="1">
        <v>2003</v>
      </c>
      <c r="C286" s="1">
        <v>1</v>
      </c>
      <c r="D286" s="1" t="s">
        <v>19</v>
      </c>
    </row>
    <row r="287" s="1" customFormat="1" spans="1:4">
      <c r="A287" s="1" t="s">
        <v>966</v>
      </c>
      <c r="B287" s="1">
        <v>377</v>
      </c>
      <c r="C287" s="1">
        <v>0</v>
      </c>
      <c r="D287" s="1" t="s">
        <v>19</v>
      </c>
    </row>
    <row r="288" s="1" customFormat="1" spans="1:4">
      <c r="A288" s="1" t="s">
        <v>967</v>
      </c>
      <c r="B288" s="1">
        <v>511</v>
      </c>
      <c r="C288" s="1">
        <v>1</v>
      </c>
      <c r="D288" s="1" t="s">
        <v>19</v>
      </c>
    </row>
    <row r="289" s="1" customFormat="1" spans="1:4">
      <c r="A289" s="1" t="s">
        <v>968</v>
      </c>
      <c r="B289" s="1">
        <v>475</v>
      </c>
      <c r="C289" s="1">
        <v>0</v>
      </c>
      <c r="D289" s="1" t="s">
        <v>19</v>
      </c>
    </row>
    <row r="290" s="1" customFormat="1" spans="1:4">
      <c r="A290" s="1" t="s">
        <v>969</v>
      </c>
      <c r="B290" s="1">
        <v>212</v>
      </c>
      <c r="C290" s="1">
        <v>0</v>
      </c>
      <c r="D290" s="1" t="s">
        <v>19</v>
      </c>
    </row>
    <row r="291" s="1" customFormat="1" spans="1:4">
      <c r="A291" s="1" t="s">
        <v>970</v>
      </c>
      <c r="B291" s="1">
        <v>1522</v>
      </c>
      <c r="C291" s="1">
        <v>0</v>
      </c>
      <c r="D291" s="1" t="s">
        <v>19</v>
      </c>
    </row>
    <row r="292" s="1" customFormat="1" spans="1:4">
      <c r="A292" s="1" t="s">
        <v>971</v>
      </c>
      <c r="B292" s="1">
        <v>380</v>
      </c>
      <c r="C292" s="1">
        <v>0</v>
      </c>
      <c r="D292" s="1" t="s">
        <v>19</v>
      </c>
    </row>
    <row r="293" s="1" customFormat="1" spans="1:4">
      <c r="A293" s="1" t="s">
        <v>972</v>
      </c>
      <c r="B293" s="1">
        <v>834</v>
      </c>
      <c r="C293" s="1">
        <v>0</v>
      </c>
      <c r="D293" s="1" t="s">
        <v>19</v>
      </c>
    </row>
    <row r="294" s="1" customFormat="1" spans="1:4">
      <c r="A294" s="1" t="s">
        <v>973</v>
      </c>
      <c r="B294" s="1">
        <v>542</v>
      </c>
      <c r="C294" s="1">
        <v>0</v>
      </c>
      <c r="D294" s="1" t="s">
        <v>19</v>
      </c>
    </row>
    <row r="295" s="1" customFormat="1" spans="1:4">
      <c r="A295" s="1" t="s">
        <v>974</v>
      </c>
      <c r="B295" s="1">
        <v>824</v>
      </c>
      <c r="C295" s="1">
        <v>0</v>
      </c>
      <c r="D295" s="1" t="s">
        <v>19</v>
      </c>
    </row>
    <row r="296" s="1" customFormat="1" spans="1:4">
      <c r="A296" s="1" t="s">
        <v>975</v>
      </c>
      <c r="B296" s="1">
        <v>1430</v>
      </c>
      <c r="C296" s="1">
        <v>0</v>
      </c>
      <c r="D296" s="1" t="s">
        <v>19</v>
      </c>
    </row>
    <row r="297" s="1" customFormat="1" spans="1:4">
      <c r="A297" s="1" t="s">
        <v>976</v>
      </c>
      <c r="B297" s="1">
        <v>882</v>
      </c>
      <c r="C297" s="1">
        <v>0</v>
      </c>
      <c r="D297" s="1" t="s">
        <v>19</v>
      </c>
    </row>
    <row r="298" s="1" customFormat="1" spans="1:4">
      <c r="A298" s="1" t="s">
        <v>977</v>
      </c>
      <c r="B298" s="1">
        <v>761</v>
      </c>
      <c r="C298" s="1">
        <v>0</v>
      </c>
      <c r="D298" s="1" t="s">
        <v>19</v>
      </c>
    </row>
    <row r="299" s="1" customFormat="1" spans="1:4">
      <c r="A299" s="1" t="s">
        <v>978</v>
      </c>
      <c r="B299" s="1">
        <v>608</v>
      </c>
      <c r="C299" s="1">
        <v>0</v>
      </c>
      <c r="D299" s="1" t="s">
        <v>19</v>
      </c>
    </row>
    <row r="300" s="1" customFormat="1" spans="1:4">
      <c r="A300" s="1" t="s">
        <v>979</v>
      </c>
      <c r="B300" s="1">
        <v>1034</v>
      </c>
      <c r="C300" s="1">
        <v>0</v>
      </c>
      <c r="D300" s="1" t="s">
        <v>19</v>
      </c>
    </row>
    <row r="301" s="1" customFormat="1" spans="1:4">
      <c r="A301" s="1" t="s">
        <v>980</v>
      </c>
      <c r="B301" s="1">
        <v>457</v>
      </c>
      <c r="C301" s="1">
        <v>0</v>
      </c>
      <c r="D301" s="1" t="s">
        <v>19</v>
      </c>
    </row>
    <row r="302" s="1" customFormat="1" spans="1:4">
      <c r="A302" s="1" t="s">
        <v>981</v>
      </c>
      <c r="B302" s="1">
        <v>792</v>
      </c>
      <c r="C302" s="1">
        <v>0</v>
      </c>
      <c r="D302" s="1" t="s">
        <v>19</v>
      </c>
    </row>
    <row r="303" s="1" customFormat="1" spans="1:4">
      <c r="A303" s="1" t="s">
        <v>982</v>
      </c>
      <c r="B303" s="1">
        <v>30</v>
      </c>
      <c r="C303" s="1">
        <v>1</v>
      </c>
      <c r="D303" s="1" t="s">
        <v>19</v>
      </c>
    </row>
    <row r="304" s="1" customFormat="1" spans="1:4">
      <c r="A304" s="1" t="s">
        <v>983</v>
      </c>
      <c r="B304" s="1">
        <v>805</v>
      </c>
      <c r="C304" s="1">
        <v>1</v>
      </c>
      <c r="D304" s="1" t="s">
        <v>19</v>
      </c>
    </row>
    <row r="305" s="1" customFormat="1" spans="1:4">
      <c r="A305" s="1" t="s">
        <v>984</v>
      </c>
      <c r="B305" s="1">
        <v>718</v>
      </c>
      <c r="C305" s="1">
        <v>0</v>
      </c>
      <c r="D305" s="1" t="s">
        <v>19</v>
      </c>
    </row>
    <row r="306" s="1" customFormat="1" spans="1:4">
      <c r="A306" s="1" t="s">
        <v>985</v>
      </c>
      <c r="B306" s="1">
        <v>1186</v>
      </c>
      <c r="C306" s="1">
        <v>0</v>
      </c>
      <c r="D306" s="1" t="s">
        <v>19</v>
      </c>
    </row>
    <row r="307" s="1" customFormat="1" spans="1:4">
      <c r="A307" s="1" t="s">
        <v>986</v>
      </c>
      <c r="B307" s="1">
        <v>1278</v>
      </c>
      <c r="C307" s="1">
        <v>0</v>
      </c>
      <c r="D307" s="1" t="s">
        <v>19</v>
      </c>
    </row>
    <row r="308" s="1" customFormat="1" spans="1:4">
      <c r="A308" s="1" t="s">
        <v>987</v>
      </c>
      <c r="B308" s="1">
        <v>395</v>
      </c>
      <c r="C308" s="1">
        <v>0</v>
      </c>
      <c r="D308" s="1" t="s">
        <v>19</v>
      </c>
    </row>
    <row r="309" s="1" customFormat="1" spans="1:4">
      <c r="A309" s="1" t="s">
        <v>988</v>
      </c>
      <c r="B309" s="1">
        <v>549</v>
      </c>
      <c r="C309" s="1">
        <v>0</v>
      </c>
      <c r="D309" s="1" t="s">
        <v>19</v>
      </c>
    </row>
    <row r="310" s="1" customFormat="1" spans="1:4">
      <c r="A310" s="1" t="s">
        <v>989</v>
      </c>
      <c r="B310" s="1">
        <v>475</v>
      </c>
      <c r="C310" s="1">
        <v>0</v>
      </c>
      <c r="D310" s="1" t="s">
        <v>19</v>
      </c>
    </row>
    <row r="311" s="1" customFormat="1" spans="1:4">
      <c r="A311" s="1" t="s">
        <v>990</v>
      </c>
      <c r="B311" s="1">
        <v>669</v>
      </c>
      <c r="C311" s="1">
        <v>0</v>
      </c>
      <c r="D311" s="1" t="s">
        <v>19</v>
      </c>
    </row>
    <row r="312" s="1" customFormat="1" spans="1:4">
      <c r="A312" s="1" t="s">
        <v>991</v>
      </c>
      <c r="B312" s="1">
        <v>518</v>
      </c>
      <c r="C312" s="1">
        <v>0</v>
      </c>
      <c r="D312" s="1" t="s">
        <v>19</v>
      </c>
    </row>
    <row r="313" s="1" customFormat="1" spans="1:4">
      <c r="A313" s="1" t="s">
        <v>992</v>
      </c>
      <c r="B313" s="1">
        <v>775</v>
      </c>
      <c r="C313" s="1">
        <v>0</v>
      </c>
      <c r="D313" s="1" t="s">
        <v>19</v>
      </c>
    </row>
    <row r="314" s="1" customFormat="1" spans="1:4">
      <c r="A314" s="1" t="s">
        <v>993</v>
      </c>
      <c r="B314" s="1">
        <v>638</v>
      </c>
      <c r="C314" s="1">
        <v>0</v>
      </c>
      <c r="D314" s="1" t="s">
        <v>19</v>
      </c>
    </row>
    <row r="315" s="1" customFormat="1" spans="1:4">
      <c r="A315" s="1" t="s">
        <v>994</v>
      </c>
      <c r="B315" s="1">
        <v>276</v>
      </c>
      <c r="C315" s="1">
        <v>0</v>
      </c>
      <c r="D315" s="1" t="s">
        <v>19</v>
      </c>
    </row>
    <row r="316" s="1" customFormat="1" spans="1:4">
      <c r="A316" s="1" t="s">
        <v>995</v>
      </c>
      <c r="B316" s="1">
        <v>791</v>
      </c>
      <c r="C316" s="1">
        <v>0</v>
      </c>
      <c r="D316" s="1" t="s">
        <v>19</v>
      </c>
    </row>
    <row r="317" s="1" customFormat="1" spans="1:4">
      <c r="A317" s="1" t="s">
        <v>996</v>
      </c>
      <c r="B317" s="1">
        <v>454</v>
      </c>
      <c r="C317" s="1">
        <v>0</v>
      </c>
      <c r="D317" s="1" t="s">
        <v>19</v>
      </c>
    </row>
    <row r="318" s="1" customFormat="1" spans="1:4">
      <c r="A318" s="1" t="s">
        <v>997</v>
      </c>
      <c r="B318" s="1">
        <v>3641</v>
      </c>
      <c r="C318" s="1">
        <v>0</v>
      </c>
      <c r="D318" s="1" t="s">
        <v>19</v>
      </c>
    </row>
    <row r="319" s="1" customFormat="1" spans="1:4">
      <c r="A319" s="1" t="s">
        <v>998</v>
      </c>
      <c r="B319" s="1">
        <v>1087</v>
      </c>
      <c r="C319" s="1">
        <v>0</v>
      </c>
      <c r="D319" s="1" t="s">
        <v>19</v>
      </c>
    </row>
    <row r="320" s="1" customFormat="1" spans="1:4">
      <c r="A320" s="1" t="s">
        <v>999</v>
      </c>
      <c r="B320" s="1">
        <v>1157</v>
      </c>
      <c r="C320" s="1">
        <v>0</v>
      </c>
      <c r="D320" s="1" t="s">
        <v>19</v>
      </c>
    </row>
    <row r="321" s="1" customFormat="1" spans="1:4">
      <c r="A321" s="1" t="s">
        <v>1000</v>
      </c>
      <c r="B321" s="1">
        <v>518</v>
      </c>
      <c r="C321" s="1">
        <v>0</v>
      </c>
      <c r="D321" s="1" t="s">
        <v>19</v>
      </c>
    </row>
    <row r="322" s="1" customFormat="1" spans="1:4">
      <c r="A322" s="1" t="s">
        <v>1001</v>
      </c>
      <c r="B322" s="1">
        <v>427</v>
      </c>
      <c r="C322" s="1">
        <v>0</v>
      </c>
      <c r="D322" s="1" t="s">
        <v>19</v>
      </c>
    </row>
    <row r="323" s="1" customFormat="1" spans="1:4">
      <c r="A323" s="1" t="s">
        <v>1002</v>
      </c>
      <c r="B323" s="1">
        <v>337</v>
      </c>
      <c r="C323" s="1">
        <v>0</v>
      </c>
      <c r="D323" s="1" t="s">
        <v>19</v>
      </c>
    </row>
    <row r="324" s="1" customFormat="1" spans="1:4">
      <c r="A324" s="1" t="s">
        <v>1003</v>
      </c>
      <c r="B324" s="1">
        <v>580</v>
      </c>
      <c r="C324" s="1">
        <v>0</v>
      </c>
      <c r="D324" s="1" t="s">
        <v>19</v>
      </c>
    </row>
    <row r="325" s="1" customFormat="1" spans="1:4">
      <c r="A325" s="1" t="s">
        <v>1004</v>
      </c>
      <c r="B325" s="1">
        <v>255</v>
      </c>
      <c r="C325" s="1">
        <v>0</v>
      </c>
      <c r="D325" s="1" t="s">
        <v>19</v>
      </c>
    </row>
    <row r="326" s="1" customFormat="1" spans="1:4">
      <c r="A326" s="1" t="s">
        <v>1005</v>
      </c>
      <c r="B326" s="1">
        <v>972</v>
      </c>
      <c r="C326" s="1">
        <v>1</v>
      </c>
      <c r="D326" s="1" t="s">
        <v>19</v>
      </c>
    </row>
    <row r="327" s="1" customFormat="1" spans="1:4">
      <c r="A327" s="1" t="s">
        <v>1006</v>
      </c>
      <c r="B327" s="1">
        <v>386</v>
      </c>
      <c r="C327" s="1">
        <v>0</v>
      </c>
      <c r="D327" s="1" t="s">
        <v>19</v>
      </c>
    </row>
    <row r="328" s="1" customFormat="1" spans="1:4">
      <c r="A328" s="1" t="s">
        <v>1007</v>
      </c>
      <c r="B328" s="1">
        <v>335</v>
      </c>
      <c r="C328" s="1">
        <v>0</v>
      </c>
      <c r="D328" s="1" t="s">
        <v>19</v>
      </c>
    </row>
    <row r="329" s="1" customFormat="1" spans="1:4">
      <c r="A329" s="1" t="s">
        <v>1008</v>
      </c>
      <c r="B329" s="1">
        <v>1910</v>
      </c>
      <c r="C329" s="1">
        <v>1</v>
      </c>
      <c r="D329" s="1" t="s">
        <v>19</v>
      </c>
    </row>
    <row r="330" s="1" customFormat="1" spans="1:4">
      <c r="A330" s="1" t="s">
        <v>1009</v>
      </c>
      <c r="B330" s="1">
        <v>883</v>
      </c>
      <c r="C330" s="1">
        <v>0</v>
      </c>
      <c r="D330" s="1" t="s">
        <v>19</v>
      </c>
    </row>
    <row r="331" s="1" customFormat="1" spans="1:4">
      <c r="A331" s="1" t="s">
        <v>1010</v>
      </c>
      <c r="B331" s="1">
        <v>156</v>
      </c>
      <c r="C331" s="1">
        <v>1</v>
      </c>
      <c r="D331" s="1" t="s">
        <v>19</v>
      </c>
    </row>
    <row r="332" s="1" customFormat="1" spans="1:4">
      <c r="A332" s="1" t="s">
        <v>1011</v>
      </c>
      <c r="B332" s="1">
        <v>1004</v>
      </c>
      <c r="C332" s="1">
        <v>0</v>
      </c>
      <c r="D332" s="1" t="s">
        <v>19</v>
      </c>
    </row>
    <row r="333" s="1" customFormat="1" spans="1:4">
      <c r="A333" s="1" t="s">
        <v>1012</v>
      </c>
      <c r="B333" s="1">
        <v>666</v>
      </c>
      <c r="C333" s="1">
        <v>0</v>
      </c>
      <c r="D333" s="1" t="s">
        <v>19</v>
      </c>
    </row>
    <row r="334" s="1" customFormat="1" spans="1:4">
      <c r="A334" s="1" t="s">
        <v>1013</v>
      </c>
      <c r="B334" s="1">
        <v>1162</v>
      </c>
      <c r="C334" s="1">
        <v>1</v>
      </c>
      <c r="D334" s="1" t="s">
        <v>19</v>
      </c>
    </row>
    <row r="335" s="1" customFormat="1" spans="1:4">
      <c r="A335" s="1" t="s">
        <v>1014</v>
      </c>
      <c r="B335" s="1">
        <v>858</v>
      </c>
      <c r="C335" s="1">
        <v>1</v>
      </c>
      <c r="D335" s="1" t="s">
        <v>19</v>
      </c>
    </row>
    <row r="336" s="1" customFormat="1" spans="1:4">
      <c r="A336" s="1" t="s">
        <v>1015</v>
      </c>
      <c r="B336" s="1">
        <v>31</v>
      </c>
      <c r="C336" s="1">
        <v>0</v>
      </c>
      <c r="D336" s="1" t="s">
        <v>19</v>
      </c>
    </row>
    <row r="337" s="1" customFormat="1" spans="1:4">
      <c r="A337" s="1" t="s">
        <v>1016</v>
      </c>
      <c r="B337" s="1">
        <v>334</v>
      </c>
      <c r="C337" s="1">
        <v>1</v>
      </c>
      <c r="D337" s="1" t="s">
        <v>19</v>
      </c>
    </row>
    <row r="338" s="1" customFormat="1" spans="1:4">
      <c r="A338" s="1" t="s">
        <v>1017</v>
      </c>
      <c r="B338" s="1">
        <v>588</v>
      </c>
      <c r="C338" s="1">
        <v>0</v>
      </c>
      <c r="D338" s="1" t="s">
        <v>19</v>
      </c>
    </row>
    <row r="339" s="1" customFormat="1" spans="1:4">
      <c r="A339" s="1" t="s">
        <v>1018</v>
      </c>
      <c r="B339" s="1">
        <v>1006</v>
      </c>
      <c r="C339" s="1">
        <v>0</v>
      </c>
      <c r="D339" s="1" t="s">
        <v>19</v>
      </c>
    </row>
    <row r="340" s="1" customFormat="1" spans="1:4">
      <c r="A340" s="1" t="s">
        <v>1019</v>
      </c>
      <c r="B340" s="1">
        <v>914</v>
      </c>
      <c r="C340" s="1">
        <v>0</v>
      </c>
      <c r="D340" s="1" t="s">
        <v>19</v>
      </c>
    </row>
    <row r="341" s="1" customFormat="1" spans="1:4">
      <c r="A341" s="1" t="s">
        <v>1020</v>
      </c>
      <c r="B341" s="1">
        <v>1643</v>
      </c>
      <c r="C341" s="1">
        <v>0</v>
      </c>
      <c r="D341" s="1" t="s">
        <v>19</v>
      </c>
    </row>
    <row r="342" s="1" customFormat="1" spans="1:4">
      <c r="A342" s="1" t="s">
        <v>1021</v>
      </c>
      <c r="B342" s="1">
        <v>518</v>
      </c>
      <c r="C342" s="1">
        <v>0</v>
      </c>
      <c r="D342" s="1" t="s">
        <v>19</v>
      </c>
    </row>
    <row r="343" s="1" customFormat="1" spans="1:4">
      <c r="A343" s="1" t="s">
        <v>1022</v>
      </c>
      <c r="B343" s="1">
        <v>212</v>
      </c>
      <c r="C343" s="1">
        <v>0</v>
      </c>
      <c r="D343" s="1" t="s">
        <v>19</v>
      </c>
    </row>
    <row r="344" s="1" customFormat="1" spans="1:4">
      <c r="A344" s="1" t="s">
        <v>1023</v>
      </c>
      <c r="B344" s="1">
        <v>547</v>
      </c>
      <c r="C344" s="1">
        <v>0</v>
      </c>
      <c r="D344" s="1" t="s">
        <v>19</v>
      </c>
    </row>
    <row r="345" s="1" customFormat="1" spans="1:4">
      <c r="A345" s="1" t="s">
        <v>1024</v>
      </c>
      <c r="B345" s="1">
        <v>61</v>
      </c>
      <c r="C345" s="1">
        <v>1</v>
      </c>
      <c r="D345" s="1" t="s">
        <v>19</v>
      </c>
    </row>
    <row r="346" s="1" customFormat="1" spans="1:4">
      <c r="A346" s="1" t="s">
        <v>1025</v>
      </c>
      <c r="B346" s="1">
        <v>1612</v>
      </c>
      <c r="C346" s="1">
        <v>0</v>
      </c>
      <c r="D346" s="1" t="s">
        <v>19</v>
      </c>
    </row>
    <row r="347" s="1" customFormat="1" spans="1:4">
      <c r="A347" s="1" t="s">
        <v>1026</v>
      </c>
      <c r="B347" s="1">
        <v>975</v>
      </c>
      <c r="C347" s="1">
        <v>0</v>
      </c>
      <c r="D347" s="1" t="s">
        <v>19</v>
      </c>
    </row>
    <row r="348" s="1" customFormat="1" spans="1:4">
      <c r="A348" s="1" t="s">
        <v>1027</v>
      </c>
      <c r="B348" s="1">
        <v>242</v>
      </c>
      <c r="C348" s="1">
        <v>0</v>
      </c>
      <c r="D348" s="1" t="s">
        <v>19</v>
      </c>
    </row>
    <row r="349" s="1" customFormat="1" spans="1:4">
      <c r="A349" s="1" t="s">
        <v>1028</v>
      </c>
      <c r="B349" s="1">
        <v>1035</v>
      </c>
      <c r="C349" s="1">
        <v>0</v>
      </c>
      <c r="D349" s="1" t="s">
        <v>19</v>
      </c>
    </row>
    <row r="350" s="1" customFormat="1" spans="1:4">
      <c r="A350" s="1" t="s">
        <v>1029</v>
      </c>
      <c r="B350" s="1">
        <v>896</v>
      </c>
      <c r="C350" s="1">
        <v>0</v>
      </c>
      <c r="D350" s="1" t="s">
        <v>19</v>
      </c>
    </row>
    <row r="351" s="1" customFormat="1" spans="1:4">
      <c r="A351" s="1" t="s">
        <v>1030</v>
      </c>
      <c r="B351" s="1">
        <v>92</v>
      </c>
      <c r="C351" s="1">
        <v>1</v>
      </c>
      <c r="D351" s="1" t="s">
        <v>19</v>
      </c>
    </row>
    <row r="352" s="1" customFormat="1" spans="1:4">
      <c r="A352" s="1" t="s">
        <v>1031</v>
      </c>
      <c r="B352" s="1">
        <v>669</v>
      </c>
      <c r="C352" s="1">
        <v>0</v>
      </c>
      <c r="D352" s="1" t="s">
        <v>19</v>
      </c>
    </row>
    <row r="353" s="1" customFormat="1" spans="1:4">
      <c r="A353" s="1" t="s">
        <v>1032</v>
      </c>
      <c r="B353" s="1">
        <v>1096</v>
      </c>
      <c r="C353" s="1">
        <v>0</v>
      </c>
      <c r="D353" s="1" t="s">
        <v>19</v>
      </c>
    </row>
    <row r="354" s="1" customFormat="1" spans="1:4">
      <c r="A354" s="1" t="s">
        <v>1033</v>
      </c>
      <c r="B354" s="1">
        <v>1915</v>
      </c>
      <c r="C354" s="1">
        <v>0</v>
      </c>
      <c r="D354" s="1" t="s">
        <v>19</v>
      </c>
    </row>
    <row r="355" s="1" customFormat="1" spans="1:4">
      <c r="A355" s="1" t="s">
        <v>1034</v>
      </c>
      <c r="B355" s="1">
        <v>61</v>
      </c>
      <c r="C355" s="1">
        <v>1</v>
      </c>
      <c r="D355" s="1" t="s">
        <v>19</v>
      </c>
    </row>
    <row r="356" s="1" customFormat="1" spans="1:4">
      <c r="A356" s="1" t="s">
        <v>1035</v>
      </c>
      <c r="B356" s="1">
        <v>1246</v>
      </c>
      <c r="C356" s="1">
        <v>0</v>
      </c>
      <c r="D356" s="1" t="s">
        <v>19</v>
      </c>
    </row>
    <row r="357" s="1" customFormat="1" spans="1:4">
      <c r="A357" s="1" t="s">
        <v>1036</v>
      </c>
      <c r="B357" s="1">
        <v>457</v>
      </c>
      <c r="C357" s="1">
        <v>0</v>
      </c>
      <c r="D357" s="1" t="s">
        <v>19</v>
      </c>
    </row>
    <row r="358" s="1" customFormat="1" spans="1:4">
      <c r="A358" s="1" t="s">
        <v>1037</v>
      </c>
      <c r="B358" s="1">
        <v>1068</v>
      </c>
      <c r="C358" s="1">
        <v>0</v>
      </c>
      <c r="D358" s="1" t="s">
        <v>19</v>
      </c>
    </row>
    <row r="359" s="1" customFormat="1" spans="1:4">
      <c r="A359" s="1" t="s">
        <v>1038</v>
      </c>
      <c r="B359" s="1">
        <v>1036</v>
      </c>
      <c r="C359" s="1">
        <v>0</v>
      </c>
      <c r="D359" s="1" t="s">
        <v>19</v>
      </c>
    </row>
    <row r="360" s="1" customFormat="1" spans="1:4">
      <c r="A360" s="1" t="s">
        <v>1039</v>
      </c>
      <c r="B360" s="1">
        <v>346</v>
      </c>
      <c r="C360" s="1">
        <v>0</v>
      </c>
      <c r="D360" s="1" t="s">
        <v>19</v>
      </c>
    </row>
    <row r="361" s="1" customFormat="1" spans="1:4">
      <c r="A361" s="1" t="s">
        <v>1040</v>
      </c>
      <c r="B361" s="1">
        <v>1186</v>
      </c>
      <c r="C361" s="1">
        <v>0</v>
      </c>
      <c r="D361" s="1" t="s">
        <v>19</v>
      </c>
    </row>
    <row r="362" s="1" customFormat="1" spans="1:4">
      <c r="A362" s="1" t="s">
        <v>1041</v>
      </c>
      <c r="B362" s="1">
        <v>822</v>
      </c>
      <c r="C362" s="1">
        <v>0</v>
      </c>
      <c r="D362" s="1" t="s">
        <v>19</v>
      </c>
    </row>
    <row r="363" s="1" customFormat="1" spans="1:4">
      <c r="A363" s="1" t="s">
        <v>1042</v>
      </c>
      <c r="B363" s="1">
        <v>457</v>
      </c>
      <c r="C363" s="1">
        <v>0</v>
      </c>
      <c r="D363" s="1" t="s">
        <v>19</v>
      </c>
    </row>
    <row r="364" s="1" customFormat="1" spans="1:4">
      <c r="A364" s="1" t="s">
        <v>1043</v>
      </c>
      <c r="B364" s="1">
        <v>245</v>
      </c>
      <c r="C364" s="1">
        <v>0</v>
      </c>
      <c r="D364" s="1" t="s">
        <v>19</v>
      </c>
    </row>
    <row r="365" s="1" customFormat="1" spans="1:4">
      <c r="A365" s="1" t="s">
        <v>1044</v>
      </c>
      <c r="B365" s="1">
        <v>491</v>
      </c>
      <c r="C365" s="1">
        <v>0</v>
      </c>
      <c r="D365" s="1" t="s">
        <v>19</v>
      </c>
    </row>
    <row r="366" s="1" customFormat="1" spans="1:4">
      <c r="A366" s="1" t="s">
        <v>1045</v>
      </c>
      <c r="B366" s="1">
        <v>419</v>
      </c>
      <c r="C366" s="1">
        <v>0</v>
      </c>
      <c r="D366" s="1" t="s">
        <v>19</v>
      </c>
    </row>
    <row r="367" s="1" customFormat="1" spans="1:4">
      <c r="A367" s="1" t="s">
        <v>1046</v>
      </c>
      <c r="B367" s="1">
        <v>406</v>
      </c>
      <c r="C367" s="1">
        <v>0</v>
      </c>
      <c r="D367" s="1" t="s">
        <v>19</v>
      </c>
    </row>
    <row r="368" s="1" customFormat="1" spans="1:4">
      <c r="A368" s="1" t="s">
        <v>1047</v>
      </c>
      <c r="B368" s="1">
        <v>338</v>
      </c>
      <c r="C368" s="1">
        <v>1</v>
      </c>
      <c r="D368" s="1" t="s">
        <v>19</v>
      </c>
    </row>
    <row r="369" s="1" customFormat="1" spans="1:4">
      <c r="A369" s="1" t="s">
        <v>1048</v>
      </c>
      <c r="B369" s="1">
        <v>206</v>
      </c>
      <c r="C369" s="1">
        <v>1</v>
      </c>
      <c r="D369" s="1" t="s">
        <v>19</v>
      </c>
    </row>
    <row r="370" s="1" customFormat="1" spans="1:4">
      <c r="A370" s="1" t="s">
        <v>1049</v>
      </c>
      <c r="B370" s="1">
        <v>1126</v>
      </c>
      <c r="C370" s="1">
        <v>0</v>
      </c>
      <c r="D370" s="1" t="s">
        <v>19</v>
      </c>
    </row>
    <row r="371" s="1" customFormat="1" spans="1:4">
      <c r="A371" s="1" t="s">
        <v>1050</v>
      </c>
      <c r="B371" s="1">
        <v>1177</v>
      </c>
      <c r="C371" s="1">
        <v>0</v>
      </c>
      <c r="D371" s="1" t="s">
        <v>19</v>
      </c>
    </row>
    <row r="372" s="1" customFormat="1" spans="1:4">
      <c r="A372" s="1" t="s">
        <v>1051</v>
      </c>
      <c r="B372" s="1">
        <v>31</v>
      </c>
      <c r="C372" s="1">
        <v>0</v>
      </c>
      <c r="D372" s="1" t="s">
        <v>19</v>
      </c>
    </row>
    <row r="373" s="1" customFormat="1" spans="1:4">
      <c r="A373" s="1" t="s">
        <v>1052</v>
      </c>
      <c r="B373" s="1">
        <v>1095</v>
      </c>
      <c r="C373" s="1">
        <v>0</v>
      </c>
      <c r="D373" s="1" t="s">
        <v>19</v>
      </c>
    </row>
    <row r="374" s="1" customFormat="1" spans="1:4">
      <c r="A374" s="1" t="s">
        <v>1053</v>
      </c>
      <c r="B374" s="1">
        <v>383</v>
      </c>
      <c r="C374" s="1">
        <v>1</v>
      </c>
      <c r="D374" s="1" t="s">
        <v>19</v>
      </c>
    </row>
    <row r="375" s="1" customFormat="1" spans="1:4">
      <c r="A375" s="1" t="s">
        <v>1054</v>
      </c>
      <c r="B375" s="1">
        <v>1674</v>
      </c>
      <c r="C375" s="1">
        <v>0</v>
      </c>
      <c r="D375" s="1" t="s">
        <v>19</v>
      </c>
    </row>
    <row r="376" s="1" customFormat="1" spans="1:4">
      <c r="A376" s="1" t="s">
        <v>1055</v>
      </c>
      <c r="B376" s="1">
        <v>553</v>
      </c>
      <c r="C376" s="1">
        <v>0</v>
      </c>
      <c r="D376" s="1" t="s">
        <v>19</v>
      </c>
    </row>
    <row r="377" s="1" customFormat="1" spans="1:4">
      <c r="A377" s="1" t="s">
        <v>1056</v>
      </c>
      <c r="B377" s="1">
        <v>570</v>
      </c>
      <c r="C377" s="1">
        <v>1</v>
      </c>
      <c r="D377" s="1" t="s">
        <v>19</v>
      </c>
    </row>
    <row r="378" s="1" customFormat="1" spans="1:4">
      <c r="A378" s="1" t="s">
        <v>1057</v>
      </c>
      <c r="B378" s="1">
        <v>2895</v>
      </c>
      <c r="C378" s="1">
        <v>0</v>
      </c>
      <c r="D378" s="1" t="s">
        <v>19</v>
      </c>
    </row>
    <row r="379" s="1" customFormat="1" spans="1:4">
      <c r="A379" s="1" t="s">
        <v>1058</v>
      </c>
      <c r="B379" s="1">
        <v>2475</v>
      </c>
      <c r="C379" s="1">
        <v>1</v>
      </c>
      <c r="D379" s="1" t="s">
        <v>19</v>
      </c>
    </row>
    <row r="380" s="1" customFormat="1" spans="1:4">
      <c r="A380" s="1" t="s">
        <v>1059</v>
      </c>
      <c r="B380" s="1">
        <v>472</v>
      </c>
      <c r="C380" s="1">
        <v>1</v>
      </c>
      <c r="D380" s="1" t="s">
        <v>19</v>
      </c>
    </row>
    <row r="381" s="1" customFormat="1" spans="1:4">
      <c r="A381" s="1" t="s">
        <v>1060</v>
      </c>
      <c r="B381" s="1">
        <v>588</v>
      </c>
      <c r="C381" s="1">
        <v>0</v>
      </c>
      <c r="D381" s="1" t="s">
        <v>19</v>
      </c>
    </row>
    <row r="382" s="1" customFormat="1" spans="1:4">
      <c r="A382" s="1" t="s">
        <v>1061</v>
      </c>
      <c r="B382" s="1">
        <v>385</v>
      </c>
      <c r="C382" s="1">
        <v>0</v>
      </c>
      <c r="D382" s="1" t="s">
        <v>19</v>
      </c>
    </row>
    <row r="383" s="1" customFormat="1" spans="1:4">
      <c r="A383" s="1" t="s">
        <v>1062</v>
      </c>
      <c r="B383" s="1">
        <v>1024</v>
      </c>
      <c r="C383" s="1">
        <v>0</v>
      </c>
      <c r="D383" s="1" t="s">
        <v>19</v>
      </c>
    </row>
    <row r="384" s="1" customFormat="1" spans="1:4">
      <c r="A384" s="1" t="s">
        <v>1063</v>
      </c>
      <c r="B384" s="1">
        <v>1422</v>
      </c>
      <c r="C384" s="1">
        <v>1</v>
      </c>
      <c r="D384" s="1" t="s">
        <v>19</v>
      </c>
    </row>
    <row r="385" s="1" customFormat="1" spans="1:4">
      <c r="A385" s="1" t="s">
        <v>1064</v>
      </c>
      <c r="B385" s="1">
        <v>974</v>
      </c>
      <c r="C385" s="1">
        <v>0</v>
      </c>
      <c r="D385" s="1" t="s">
        <v>19</v>
      </c>
    </row>
    <row r="386" s="1" customFormat="1" spans="1:4">
      <c r="A386" s="1" t="s">
        <v>1065</v>
      </c>
      <c r="B386" s="1">
        <v>525</v>
      </c>
      <c r="C386" s="1">
        <v>0</v>
      </c>
      <c r="D386" s="1" t="s">
        <v>19</v>
      </c>
    </row>
    <row r="387" s="1" customFormat="1" spans="1:4">
      <c r="A387" s="1" t="s">
        <v>1066</v>
      </c>
      <c r="B387" s="1">
        <v>1883</v>
      </c>
      <c r="C387" s="1">
        <v>0</v>
      </c>
      <c r="D387" s="1" t="s">
        <v>19</v>
      </c>
    </row>
    <row r="388" s="1" customFormat="1" spans="1:4">
      <c r="A388" s="1" t="s">
        <v>1067</v>
      </c>
      <c r="B388" s="1">
        <v>3648</v>
      </c>
      <c r="C388" s="1">
        <v>0</v>
      </c>
      <c r="D388" s="1" t="s">
        <v>19</v>
      </c>
    </row>
    <row r="389" s="1" customFormat="1" spans="1:4">
      <c r="A389" s="1" t="s">
        <v>1068</v>
      </c>
      <c r="B389" s="1">
        <v>153</v>
      </c>
      <c r="C389" s="1">
        <v>1</v>
      </c>
      <c r="D389" s="1" t="s">
        <v>19</v>
      </c>
    </row>
    <row r="390" s="1" customFormat="1" spans="1:4">
      <c r="A390" s="1" t="s">
        <v>1069</v>
      </c>
      <c r="B390" s="1">
        <v>612</v>
      </c>
      <c r="C390" s="1">
        <v>0</v>
      </c>
      <c r="D390" s="1" t="s">
        <v>18</v>
      </c>
    </row>
    <row r="391" s="1" customFormat="1" spans="1:4">
      <c r="A391" s="1" t="s">
        <v>1070</v>
      </c>
      <c r="B391" s="1">
        <v>543</v>
      </c>
      <c r="C391" s="1">
        <v>0</v>
      </c>
      <c r="D391" s="1" t="s">
        <v>19</v>
      </c>
    </row>
    <row r="392" s="1" customFormat="1" spans="1:4">
      <c r="A392" s="1" t="s">
        <v>1071</v>
      </c>
      <c r="B392" s="1">
        <v>1066</v>
      </c>
      <c r="C392" s="1">
        <v>0</v>
      </c>
      <c r="D392" s="1" t="s">
        <v>18</v>
      </c>
    </row>
    <row r="393" s="1" customFormat="1" spans="1:4">
      <c r="A393" s="1" t="s">
        <v>1072</v>
      </c>
      <c r="B393" s="1">
        <v>426</v>
      </c>
      <c r="C393" s="1">
        <v>0</v>
      </c>
      <c r="D393" s="1" t="s">
        <v>18</v>
      </c>
    </row>
    <row r="394" s="1" customFormat="1" spans="1:4">
      <c r="A394" s="1" t="s">
        <v>1073</v>
      </c>
      <c r="B394" s="1">
        <v>579</v>
      </c>
      <c r="C394" s="1">
        <v>1</v>
      </c>
      <c r="D394" s="1" t="s">
        <v>18</v>
      </c>
    </row>
    <row r="395" s="1" customFormat="1" spans="1:4">
      <c r="A395" s="1" t="s">
        <v>1074</v>
      </c>
      <c r="B395" s="1">
        <v>61</v>
      </c>
      <c r="C395" s="1">
        <v>1</v>
      </c>
      <c r="D395" s="1" t="s">
        <v>19</v>
      </c>
    </row>
    <row r="396" s="1" customFormat="1" spans="1:4">
      <c r="A396" s="1" t="s">
        <v>1075</v>
      </c>
      <c r="B396" s="1">
        <v>1054</v>
      </c>
      <c r="C396" s="1">
        <v>0</v>
      </c>
      <c r="D396" s="1" t="s">
        <v>19</v>
      </c>
    </row>
    <row r="397" s="1" customFormat="1" spans="1:4">
      <c r="A397" s="1" t="s">
        <v>1076</v>
      </c>
      <c r="B397" s="1">
        <v>549</v>
      </c>
      <c r="C397" s="1">
        <v>0</v>
      </c>
      <c r="D397" s="1" t="s">
        <v>19</v>
      </c>
    </row>
    <row r="398" s="1" customFormat="1" spans="1:4">
      <c r="A398" s="1" t="s">
        <v>1077</v>
      </c>
      <c r="B398" s="1">
        <v>485</v>
      </c>
      <c r="C398" s="1">
        <v>0</v>
      </c>
      <c r="D398" s="1" t="s">
        <v>19</v>
      </c>
    </row>
    <row r="399" s="1" customFormat="1" spans="1:4">
      <c r="A399" s="1" t="s">
        <v>1078</v>
      </c>
      <c r="B399" s="1">
        <v>262</v>
      </c>
      <c r="C399" s="1">
        <v>1</v>
      </c>
      <c r="D399" s="1" t="s">
        <v>19</v>
      </c>
    </row>
    <row r="400" s="1" customFormat="1" spans="1:4">
      <c r="A400" s="1" t="s">
        <v>1079</v>
      </c>
      <c r="B400" s="1">
        <v>306</v>
      </c>
      <c r="C400" s="1">
        <v>1</v>
      </c>
      <c r="D400" s="1" t="s">
        <v>19</v>
      </c>
    </row>
    <row r="401" s="1" customFormat="1" spans="1:4">
      <c r="A401" s="1" t="s">
        <v>1080</v>
      </c>
      <c r="B401" s="1">
        <v>254</v>
      </c>
      <c r="C401" s="1">
        <v>0</v>
      </c>
      <c r="D401" s="1" t="s">
        <v>19</v>
      </c>
    </row>
    <row r="402" s="1" customFormat="1" spans="1:4">
      <c r="A402" s="1" t="s">
        <v>1081</v>
      </c>
      <c r="B402" s="1">
        <v>489</v>
      </c>
      <c r="C402" s="1">
        <v>0</v>
      </c>
      <c r="D402" s="1" t="s">
        <v>19</v>
      </c>
    </row>
    <row r="403" s="1" customFormat="1" spans="1:4">
      <c r="A403" s="1" t="s">
        <v>1082</v>
      </c>
      <c r="B403" s="1">
        <v>29</v>
      </c>
      <c r="C403" s="1">
        <v>1</v>
      </c>
      <c r="D403" s="1" t="s">
        <v>19</v>
      </c>
    </row>
    <row r="404" s="1" customFormat="1" spans="1:4">
      <c r="A404" s="1" t="s">
        <v>1083</v>
      </c>
      <c r="B404" s="1">
        <v>457</v>
      </c>
      <c r="C404" s="1">
        <v>0</v>
      </c>
      <c r="D404" s="1" t="s">
        <v>19</v>
      </c>
    </row>
    <row r="405" s="1" customFormat="1" spans="1:4">
      <c r="A405" s="1" t="s">
        <v>1084</v>
      </c>
      <c r="B405" s="1">
        <v>396</v>
      </c>
      <c r="C405" s="1">
        <v>1</v>
      </c>
      <c r="D405" s="1" t="s">
        <v>19</v>
      </c>
    </row>
    <row r="406" s="1" customFormat="1" spans="1:4">
      <c r="A406" s="1" t="s">
        <v>1085</v>
      </c>
      <c r="B406" s="1">
        <v>1095</v>
      </c>
      <c r="C406" s="1">
        <v>1</v>
      </c>
      <c r="D406" s="1" t="s">
        <v>19</v>
      </c>
    </row>
    <row r="407" s="1" customFormat="1" spans="1:4">
      <c r="A407" s="1" t="s">
        <v>1086</v>
      </c>
      <c r="B407" s="1">
        <v>457</v>
      </c>
      <c r="C407" s="1">
        <v>0</v>
      </c>
      <c r="D407" s="1" t="s">
        <v>19</v>
      </c>
    </row>
    <row r="408" s="1" customFormat="1" spans="1:4">
      <c r="A408" s="1" t="s">
        <v>1087</v>
      </c>
      <c r="B408" s="1">
        <v>580</v>
      </c>
      <c r="C408" s="1">
        <v>0</v>
      </c>
      <c r="D408" s="1" t="s">
        <v>19</v>
      </c>
    </row>
    <row r="409" s="1" customFormat="1" spans="1:4">
      <c r="A409" s="1" t="s">
        <v>1088</v>
      </c>
      <c r="B409" s="1">
        <v>383</v>
      </c>
      <c r="C409" s="1">
        <v>0</v>
      </c>
      <c r="D409" s="1" t="s">
        <v>19</v>
      </c>
    </row>
    <row r="410" s="1" customFormat="1" spans="1:4">
      <c r="A410" s="1" t="s">
        <v>1089</v>
      </c>
      <c r="B410" s="1">
        <v>899</v>
      </c>
      <c r="C410" s="1">
        <v>1</v>
      </c>
      <c r="D410" s="1" t="s">
        <v>19</v>
      </c>
    </row>
    <row r="411" s="1" customFormat="1" spans="1:4">
      <c r="A411" s="1" t="s">
        <v>1090</v>
      </c>
      <c r="B411" s="1">
        <v>1126</v>
      </c>
      <c r="C411" s="1">
        <v>0</v>
      </c>
      <c r="D411" s="1" t="s">
        <v>19</v>
      </c>
    </row>
    <row r="412" s="1" customFormat="1" spans="1:4">
      <c r="A412" s="1" t="s">
        <v>1091</v>
      </c>
      <c r="B412" s="1">
        <v>1946</v>
      </c>
      <c r="C412" s="1">
        <v>0</v>
      </c>
      <c r="D412" s="1" t="s">
        <v>19</v>
      </c>
    </row>
    <row r="413" s="1" customFormat="1" spans="1:4">
      <c r="A413" s="1" t="s">
        <v>1092</v>
      </c>
      <c r="B413" s="1">
        <v>396</v>
      </c>
      <c r="C413" s="1">
        <v>0</v>
      </c>
      <c r="D413" s="1" t="s">
        <v>19</v>
      </c>
    </row>
    <row r="414" s="1" customFormat="1" spans="1:4">
      <c r="A414" s="1" t="s">
        <v>1093</v>
      </c>
      <c r="B414" s="1">
        <v>730</v>
      </c>
      <c r="C414" s="1">
        <v>0</v>
      </c>
      <c r="D414" s="1" t="s">
        <v>19</v>
      </c>
    </row>
    <row r="415" s="1" customFormat="1" spans="1:4">
      <c r="A415" s="1" t="s">
        <v>1094</v>
      </c>
      <c r="B415" s="1">
        <v>30</v>
      </c>
      <c r="C415" s="1">
        <v>0</v>
      </c>
      <c r="D415" s="1" t="s">
        <v>19</v>
      </c>
    </row>
    <row r="416" s="1" customFormat="1" spans="1:4">
      <c r="A416" s="1" t="s">
        <v>1095</v>
      </c>
      <c r="B416" s="1">
        <v>122</v>
      </c>
      <c r="C416" s="1">
        <v>1</v>
      </c>
      <c r="D416" s="1" t="s">
        <v>19</v>
      </c>
    </row>
    <row r="417" s="1" customFormat="1" spans="1:4">
      <c r="A417" s="1" t="s">
        <v>1096</v>
      </c>
      <c r="B417" s="1">
        <v>394</v>
      </c>
      <c r="C417" s="1">
        <v>0</v>
      </c>
      <c r="D417" s="1" t="s">
        <v>19</v>
      </c>
    </row>
    <row r="418" s="1" customFormat="1" spans="1:4">
      <c r="A418" s="1" t="s">
        <v>1097</v>
      </c>
      <c r="B418" s="1">
        <v>378</v>
      </c>
      <c r="C418" s="1">
        <v>0</v>
      </c>
      <c r="D418" s="1" t="s">
        <v>19</v>
      </c>
    </row>
    <row r="419" s="1" customFormat="1" spans="1:4">
      <c r="A419" s="1" t="s">
        <v>1098</v>
      </c>
      <c r="B419" s="1">
        <v>408</v>
      </c>
      <c r="C419" s="1">
        <v>0</v>
      </c>
      <c r="D419" s="1" t="s">
        <v>19</v>
      </c>
    </row>
    <row r="420" s="1" customFormat="1" spans="1:4">
      <c r="A420" s="1" t="s">
        <v>1099</v>
      </c>
      <c r="B420" s="1">
        <v>306</v>
      </c>
      <c r="C420" s="1">
        <v>0</v>
      </c>
      <c r="D420" s="1" t="s">
        <v>19</v>
      </c>
    </row>
    <row r="421" s="1" customFormat="1" spans="1:4">
      <c r="A421" s="1" t="s">
        <v>1100</v>
      </c>
      <c r="B421" s="1">
        <v>763</v>
      </c>
      <c r="C421" s="1">
        <v>0</v>
      </c>
      <c r="D421" s="1" t="s">
        <v>19</v>
      </c>
    </row>
    <row r="422" s="1" customFormat="1" spans="1:4">
      <c r="A422" s="1" t="s">
        <v>1101</v>
      </c>
      <c r="B422" s="1">
        <v>403</v>
      </c>
      <c r="C422" s="1">
        <v>1</v>
      </c>
      <c r="D422" s="1" t="s">
        <v>19</v>
      </c>
    </row>
    <row r="423" s="1" customFormat="1" spans="1:4">
      <c r="A423" s="1" t="s">
        <v>1102</v>
      </c>
      <c r="B423" s="1">
        <v>424</v>
      </c>
      <c r="C423" s="1">
        <v>1</v>
      </c>
      <c r="D423" s="1" t="s">
        <v>19</v>
      </c>
    </row>
    <row r="424" s="1" customFormat="1" spans="1:4">
      <c r="A424" s="1" t="s">
        <v>1103</v>
      </c>
      <c r="B424" s="1">
        <v>1387</v>
      </c>
      <c r="C424" s="1">
        <v>0</v>
      </c>
      <c r="D424" s="1" t="s">
        <v>19</v>
      </c>
    </row>
    <row r="425" s="1" customFormat="1" spans="1:4">
      <c r="A425" s="1" t="s">
        <v>1104</v>
      </c>
      <c r="B425" s="1">
        <v>1331</v>
      </c>
      <c r="C425" s="1">
        <v>1</v>
      </c>
      <c r="D425" s="1" t="s">
        <v>19</v>
      </c>
    </row>
    <row r="426" s="1" customFormat="1" spans="1:4">
      <c r="A426" s="1" t="s">
        <v>1105</v>
      </c>
      <c r="B426" s="1">
        <v>1127</v>
      </c>
      <c r="C426" s="1">
        <v>0</v>
      </c>
      <c r="D426" s="1" t="s">
        <v>19</v>
      </c>
    </row>
    <row r="427" s="1" customFormat="1" spans="1:4">
      <c r="A427" s="1" t="s">
        <v>1106</v>
      </c>
      <c r="B427" s="1">
        <v>1503</v>
      </c>
      <c r="C427" s="1">
        <v>1</v>
      </c>
      <c r="D427" s="1" t="s">
        <v>19</v>
      </c>
    </row>
    <row r="428" s="1" customFormat="1" spans="1:4">
      <c r="A428" s="1" t="s">
        <v>1107</v>
      </c>
      <c r="B428" s="1">
        <v>1064</v>
      </c>
      <c r="C428" s="1">
        <v>0</v>
      </c>
      <c r="D428" s="1" t="s">
        <v>19</v>
      </c>
    </row>
    <row r="429" s="1" customFormat="1" spans="1:4">
      <c r="A429" s="1" t="s">
        <v>1108</v>
      </c>
      <c r="B429" s="1">
        <v>1776</v>
      </c>
      <c r="C429" s="1">
        <v>0</v>
      </c>
      <c r="D429" s="1" t="s">
        <v>19</v>
      </c>
    </row>
    <row r="430" s="1" customFormat="1" spans="1:4">
      <c r="A430" s="1" t="s">
        <v>1109</v>
      </c>
      <c r="B430" s="1">
        <v>1977</v>
      </c>
      <c r="C430" s="1">
        <v>0</v>
      </c>
      <c r="D430" s="1" t="s">
        <v>19</v>
      </c>
    </row>
    <row r="431" s="1" customFormat="1" spans="1:4">
      <c r="A431" s="1" t="s">
        <v>1110</v>
      </c>
      <c r="B431" s="1">
        <v>242</v>
      </c>
      <c r="C431" s="1">
        <v>1</v>
      </c>
      <c r="D431" s="1" t="s">
        <v>19</v>
      </c>
    </row>
    <row r="432" s="1" customFormat="1" spans="1:4">
      <c r="A432" s="1" t="s">
        <v>1111</v>
      </c>
      <c r="B432" s="1">
        <v>457</v>
      </c>
      <c r="C432" s="1">
        <v>0</v>
      </c>
      <c r="D432" s="1" t="s">
        <v>19</v>
      </c>
    </row>
    <row r="433" s="1" customFormat="1" spans="1:4">
      <c r="A433" s="1" t="s">
        <v>1112</v>
      </c>
      <c r="B433" s="1">
        <v>1004</v>
      </c>
      <c r="C433" s="1">
        <v>0</v>
      </c>
      <c r="D433" s="1" t="s">
        <v>18</v>
      </c>
    </row>
    <row r="434" s="1" customFormat="1" spans="1:4">
      <c r="A434" s="1" t="s">
        <v>1113</v>
      </c>
      <c r="B434" s="1">
        <v>97</v>
      </c>
      <c r="C434" s="1">
        <v>1</v>
      </c>
      <c r="D434" s="1" t="s">
        <v>18</v>
      </c>
    </row>
    <row r="435" s="1" customFormat="1" spans="1:4">
      <c r="A435" s="1" t="s">
        <v>1114</v>
      </c>
      <c r="B435" s="1">
        <v>1561</v>
      </c>
      <c r="C435" s="1">
        <v>0</v>
      </c>
      <c r="D435" s="1" t="s">
        <v>19</v>
      </c>
    </row>
    <row r="436" s="1" customFormat="1" spans="1:4">
      <c r="A436" s="1" t="s">
        <v>1115</v>
      </c>
      <c r="B436" s="1">
        <v>761</v>
      </c>
      <c r="C436" s="1">
        <v>0</v>
      </c>
      <c r="D436" s="1" t="s">
        <v>19</v>
      </c>
    </row>
    <row r="437" s="1" customFormat="1" spans="1:4">
      <c r="A437" s="1" t="s">
        <v>1116</v>
      </c>
      <c r="B437" s="1">
        <v>28</v>
      </c>
      <c r="C437" s="1">
        <v>0</v>
      </c>
      <c r="D437" s="1" t="s">
        <v>19</v>
      </c>
    </row>
    <row r="438" s="1" customFormat="1" spans="1:4">
      <c r="A438" s="1" t="s">
        <v>1117</v>
      </c>
      <c r="B438" s="1">
        <v>1856</v>
      </c>
      <c r="C438" s="1">
        <v>0</v>
      </c>
      <c r="D438" s="1" t="s">
        <v>19</v>
      </c>
    </row>
    <row r="439" s="1" customFormat="1" spans="1:4">
      <c r="A439" s="1" t="s">
        <v>1118</v>
      </c>
      <c r="B439" s="1">
        <v>763</v>
      </c>
      <c r="C439" s="1">
        <v>0</v>
      </c>
      <c r="D439" s="1" t="s">
        <v>19</v>
      </c>
    </row>
    <row r="440" s="1" customFormat="1" spans="1:4">
      <c r="A440" s="1" t="s">
        <v>1119</v>
      </c>
      <c r="B440" s="1">
        <v>822</v>
      </c>
      <c r="C440" s="1">
        <v>0</v>
      </c>
      <c r="D440" s="1" t="s">
        <v>19</v>
      </c>
    </row>
    <row r="441" s="1" customFormat="1" spans="1:4">
      <c r="A441" s="1" t="s">
        <v>1120</v>
      </c>
      <c r="B441" s="1">
        <v>1286</v>
      </c>
      <c r="C441" s="1">
        <v>0</v>
      </c>
      <c r="D441" s="1" t="s">
        <v>19</v>
      </c>
    </row>
    <row r="442" s="1" customFormat="1" spans="1:4">
      <c r="A442" s="1" t="s">
        <v>1121</v>
      </c>
      <c r="B442" s="1">
        <v>365</v>
      </c>
      <c r="C442" s="1">
        <v>0</v>
      </c>
      <c r="D442" s="1" t="s">
        <v>19</v>
      </c>
    </row>
    <row r="443" s="1" customFormat="1" spans="1:4">
      <c r="A443" s="1" t="s">
        <v>1122</v>
      </c>
      <c r="B443" s="1">
        <v>312</v>
      </c>
      <c r="C443" s="1">
        <v>0</v>
      </c>
      <c r="D443" s="1" t="s">
        <v>19</v>
      </c>
    </row>
    <row r="444" s="1" customFormat="1" spans="1:4">
      <c r="A444" s="1" t="s">
        <v>1123</v>
      </c>
      <c r="B444" s="1">
        <v>540</v>
      </c>
      <c r="C444" s="1">
        <v>0</v>
      </c>
      <c r="D444" s="1" t="s">
        <v>19</v>
      </c>
    </row>
    <row r="445" s="1" customFormat="1" spans="1:4">
      <c r="A445" s="1" t="s">
        <v>1124</v>
      </c>
      <c r="B445" s="1">
        <v>308</v>
      </c>
      <c r="C445" s="1">
        <v>0</v>
      </c>
      <c r="D445" s="1" t="s">
        <v>19</v>
      </c>
    </row>
    <row r="446" s="1" customFormat="1" spans="1:4">
      <c r="A446" s="1" t="s">
        <v>1125</v>
      </c>
      <c r="B446" s="1">
        <v>579</v>
      </c>
      <c r="C446" s="1">
        <v>0</v>
      </c>
      <c r="D446" s="1" t="s">
        <v>19</v>
      </c>
    </row>
    <row r="447" s="1" customFormat="1" spans="1:4">
      <c r="A447" s="1" t="s">
        <v>1126</v>
      </c>
      <c r="B447" s="1">
        <v>2599</v>
      </c>
      <c r="C447" s="1">
        <v>0</v>
      </c>
      <c r="D447" s="1" t="s">
        <v>19</v>
      </c>
    </row>
    <row r="448" s="1" customFormat="1" spans="1:4">
      <c r="A448" s="1" t="s">
        <v>1127</v>
      </c>
      <c r="B448" s="1">
        <v>735</v>
      </c>
      <c r="C448" s="1">
        <v>0</v>
      </c>
      <c r="D448" s="1" t="s">
        <v>19</v>
      </c>
    </row>
    <row r="449" s="1" customFormat="1" spans="1:4">
      <c r="A449" s="1" t="s">
        <v>1128</v>
      </c>
      <c r="B449" s="1">
        <v>2175</v>
      </c>
      <c r="C449" s="1">
        <v>0</v>
      </c>
      <c r="D449" s="1" t="s">
        <v>19</v>
      </c>
    </row>
    <row r="450" s="1" customFormat="1" spans="1:4">
      <c r="A450" s="1" t="s">
        <v>1129</v>
      </c>
      <c r="B450" s="1">
        <v>943</v>
      </c>
      <c r="C450" s="1">
        <v>0</v>
      </c>
      <c r="D450" s="1" t="s">
        <v>19</v>
      </c>
    </row>
    <row r="451" s="1" customFormat="1" spans="1:4">
      <c r="A451" s="1" t="s">
        <v>1130</v>
      </c>
      <c r="B451" s="1">
        <v>31</v>
      </c>
      <c r="C451" s="1">
        <v>0</v>
      </c>
      <c r="D451" s="1" t="s">
        <v>19</v>
      </c>
    </row>
    <row r="452" s="1" customFormat="1" spans="1:4">
      <c r="A452" s="1" t="s">
        <v>1131</v>
      </c>
      <c r="B452" s="1">
        <v>549</v>
      </c>
      <c r="C452" s="1">
        <v>0</v>
      </c>
      <c r="D452" s="1" t="s">
        <v>19</v>
      </c>
    </row>
    <row r="453" s="1" customFormat="1" spans="1:4">
      <c r="A453" s="1" t="s">
        <v>1132</v>
      </c>
      <c r="B453" s="1">
        <v>796</v>
      </c>
      <c r="C453" s="1">
        <v>0</v>
      </c>
      <c r="D453" s="1" t="s">
        <v>19</v>
      </c>
    </row>
    <row r="454" s="1" customFormat="1" spans="1:4">
      <c r="A454" s="1" t="s">
        <v>1133</v>
      </c>
      <c r="B454" s="1">
        <v>31</v>
      </c>
      <c r="C454" s="1">
        <v>0</v>
      </c>
      <c r="D454" s="1" t="s">
        <v>19</v>
      </c>
    </row>
    <row r="455" s="1" customFormat="1" spans="1:4">
      <c r="A455" s="1" t="s">
        <v>1134</v>
      </c>
      <c r="B455" s="1">
        <v>2506</v>
      </c>
      <c r="C455" s="1">
        <v>0</v>
      </c>
      <c r="D455" s="1" t="s">
        <v>19</v>
      </c>
    </row>
    <row r="456" s="1" customFormat="1" spans="1:4">
      <c r="A456" s="1" t="s">
        <v>1135</v>
      </c>
      <c r="B456" s="1">
        <v>731</v>
      </c>
      <c r="C456" s="1">
        <v>0</v>
      </c>
      <c r="D456" s="1" t="s">
        <v>19</v>
      </c>
    </row>
    <row r="457" s="1" customFormat="1" spans="1:4">
      <c r="A457" s="1" t="s">
        <v>1136</v>
      </c>
      <c r="B457" s="1">
        <v>911</v>
      </c>
      <c r="C457" s="1">
        <v>0</v>
      </c>
      <c r="D457" s="1" t="s">
        <v>19</v>
      </c>
    </row>
    <row r="458" s="1" customFormat="1" spans="1:4">
      <c r="A458" s="1" t="s">
        <v>1137</v>
      </c>
      <c r="B458" s="1">
        <v>460</v>
      </c>
      <c r="C458" s="1">
        <v>0</v>
      </c>
      <c r="D458" s="1" t="s">
        <v>19</v>
      </c>
    </row>
    <row r="459" s="1" customFormat="1" spans="1:4">
      <c r="A459" s="1" t="s">
        <v>1138</v>
      </c>
      <c r="B459" s="1">
        <v>182</v>
      </c>
      <c r="C459" s="1">
        <v>0</v>
      </c>
      <c r="D459" s="1" t="s">
        <v>19</v>
      </c>
    </row>
    <row r="460" s="1" customFormat="1" spans="1:4">
      <c r="A460" s="1" t="s">
        <v>1139</v>
      </c>
      <c r="B460" s="1">
        <v>974</v>
      </c>
      <c r="C460" s="1">
        <v>0</v>
      </c>
      <c r="D460" s="1" t="s">
        <v>19</v>
      </c>
    </row>
    <row r="461" s="1" customFormat="1" spans="1:4">
      <c r="A461" s="1" t="s">
        <v>1140</v>
      </c>
      <c r="B461" s="1">
        <v>822</v>
      </c>
      <c r="C461" s="1">
        <v>1</v>
      </c>
      <c r="D461" s="1" t="s">
        <v>19</v>
      </c>
    </row>
    <row r="462" s="1" customFormat="1" spans="1:4">
      <c r="A462" s="1" t="s">
        <v>1141</v>
      </c>
      <c r="B462" s="1">
        <v>882</v>
      </c>
      <c r="C462" s="1">
        <v>0</v>
      </c>
      <c r="D462" s="1" t="s">
        <v>19</v>
      </c>
    </row>
    <row r="463" s="1" customFormat="1" spans="1:4">
      <c r="A463" s="1" t="s">
        <v>1142</v>
      </c>
      <c r="B463" s="1">
        <v>442</v>
      </c>
      <c r="C463" s="1">
        <v>1</v>
      </c>
      <c r="D463" s="1" t="s">
        <v>19</v>
      </c>
    </row>
    <row r="464" s="1" customFormat="1" spans="1:4">
      <c r="A464" s="1" t="s">
        <v>1143</v>
      </c>
      <c r="B464" s="1">
        <v>822</v>
      </c>
      <c r="C464" s="1">
        <v>0</v>
      </c>
      <c r="D464" s="1" t="s">
        <v>19</v>
      </c>
    </row>
    <row r="465" s="1" customFormat="1" spans="1:4">
      <c r="A465" s="1" t="s">
        <v>1144</v>
      </c>
      <c r="B465" s="1">
        <v>441</v>
      </c>
      <c r="C465" s="1">
        <v>0</v>
      </c>
      <c r="D465" s="1" t="s">
        <v>19</v>
      </c>
    </row>
    <row r="466" s="1" customFormat="1" spans="1:4">
      <c r="A466" s="1" t="s">
        <v>1145</v>
      </c>
      <c r="B466" s="1">
        <v>488</v>
      </c>
      <c r="C466" s="1">
        <v>0</v>
      </c>
      <c r="D466" s="1" t="s">
        <v>19</v>
      </c>
    </row>
    <row r="467" s="1" customFormat="1" spans="1:4">
      <c r="A467" s="1" t="s">
        <v>1146</v>
      </c>
      <c r="B467" s="1">
        <v>370</v>
      </c>
      <c r="C467" s="1">
        <v>0</v>
      </c>
      <c r="D467" s="1" t="s">
        <v>19</v>
      </c>
    </row>
    <row r="468" s="1" customFormat="1" spans="1:4">
      <c r="A468" s="1" t="s">
        <v>1147</v>
      </c>
      <c r="B468" s="1">
        <v>617</v>
      </c>
      <c r="C468" s="1">
        <v>0</v>
      </c>
      <c r="D468" s="1" t="s">
        <v>19</v>
      </c>
    </row>
    <row r="469" s="1" customFormat="1" spans="1:4">
      <c r="A469" s="1" t="s">
        <v>1148</v>
      </c>
      <c r="B469" s="1">
        <v>47</v>
      </c>
      <c r="C469" s="1">
        <v>0</v>
      </c>
      <c r="D469" s="1" t="s">
        <v>19</v>
      </c>
    </row>
    <row r="470" s="1" customFormat="1" spans="1:4">
      <c r="A470" s="1" t="s">
        <v>1149</v>
      </c>
      <c r="B470" s="1">
        <v>366</v>
      </c>
      <c r="C470" s="1">
        <v>0</v>
      </c>
      <c r="D470" s="1" t="s">
        <v>19</v>
      </c>
    </row>
    <row r="471" s="1" customFormat="1" spans="1:4">
      <c r="A471" s="1" t="s">
        <v>1150</v>
      </c>
      <c r="B471" s="1">
        <v>596</v>
      </c>
      <c r="C471" s="1">
        <v>0</v>
      </c>
      <c r="D471" s="1" t="s">
        <v>19</v>
      </c>
    </row>
    <row r="472" s="1" customFormat="1" spans="1:4">
      <c r="A472" s="1" t="s">
        <v>1151</v>
      </c>
      <c r="B472" s="1">
        <v>368</v>
      </c>
      <c r="C472" s="1">
        <v>1</v>
      </c>
      <c r="D472" s="1" t="s">
        <v>19</v>
      </c>
    </row>
    <row r="473" s="1" customFormat="1" spans="1:4">
      <c r="A473" s="1" t="s">
        <v>1152</v>
      </c>
      <c r="B473" s="1">
        <v>61</v>
      </c>
      <c r="C473" s="1">
        <v>0</v>
      </c>
      <c r="D473" s="1" t="s">
        <v>19</v>
      </c>
    </row>
    <row r="474" s="1" customFormat="1" spans="1:4">
      <c r="A474" s="1" t="s">
        <v>1153</v>
      </c>
      <c r="B474" s="1">
        <v>672</v>
      </c>
      <c r="C474" s="1">
        <v>0</v>
      </c>
      <c r="D474" s="1" t="s">
        <v>19</v>
      </c>
    </row>
    <row r="475" s="1" customFormat="1" spans="1:4">
      <c r="A475" s="1" t="s">
        <v>1154</v>
      </c>
      <c r="B475" s="1">
        <v>456</v>
      </c>
      <c r="C475" s="1">
        <v>0</v>
      </c>
      <c r="D475" s="1" t="s">
        <v>18</v>
      </c>
    </row>
    <row r="476" s="1" customFormat="1" spans="1:4">
      <c r="A476" s="1" t="s">
        <v>1155</v>
      </c>
      <c r="B476" s="1">
        <v>1309</v>
      </c>
      <c r="C476" s="1">
        <v>0</v>
      </c>
      <c r="D476" s="1" t="s">
        <v>18</v>
      </c>
    </row>
    <row r="477" s="1" customFormat="1" spans="1:4">
      <c r="A477" s="1" t="s">
        <v>1156</v>
      </c>
      <c r="B477" s="1">
        <v>912</v>
      </c>
      <c r="C477" s="1">
        <v>0</v>
      </c>
      <c r="D477" s="1" t="s">
        <v>18</v>
      </c>
    </row>
    <row r="478" s="1" customFormat="1" spans="1:4">
      <c r="A478" s="1" t="s">
        <v>1157</v>
      </c>
      <c r="B478" s="1">
        <v>1199</v>
      </c>
      <c r="C478" s="1">
        <v>0</v>
      </c>
      <c r="D478" s="1" t="s">
        <v>19</v>
      </c>
    </row>
    <row r="479" s="1" customFormat="1" spans="1:4">
      <c r="A479" s="1" t="s">
        <v>1158</v>
      </c>
      <c r="B479" s="1">
        <v>229</v>
      </c>
      <c r="C479" s="1">
        <v>0</v>
      </c>
      <c r="D479" s="1" t="s">
        <v>19</v>
      </c>
    </row>
    <row r="480" s="1" customFormat="1" spans="1:4">
      <c r="A480" s="1" t="s">
        <v>1159</v>
      </c>
      <c r="B480" s="1">
        <v>293</v>
      </c>
      <c r="C480" s="1">
        <v>0</v>
      </c>
      <c r="D480" s="1" t="s">
        <v>19</v>
      </c>
    </row>
    <row r="481" s="1" customFormat="1" spans="1:4">
      <c r="A481" s="1" t="s">
        <v>1160</v>
      </c>
      <c r="B481" s="1">
        <v>435</v>
      </c>
      <c r="C481" s="1">
        <v>0</v>
      </c>
      <c r="D481" s="1" t="s">
        <v>19</v>
      </c>
    </row>
    <row r="482" s="1" customFormat="1" spans="1:4">
      <c r="A482" s="1" t="s">
        <v>1161</v>
      </c>
      <c r="B482" s="1">
        <v>427</v>
      </c>
      <c r="C482" s="1">
        <v>0</v>
      </c>
      <c r="D482" s="1" t="s">
        <v>19</v>
      </c>
    </row>
    <row r="483" s="1" customFormat="1" spans="1:4">
      <c r="A483" s="1" t="s">
        <v>1162</v>
      </c>
      <c r="B483" s="1">
        <v>682</v>
      </c>
      <c r="C483" s="1">
        <v>1</v>
      </c>
      <c r="D483" s="1" t="s">
        <v>19</v>
      </c>
    </row>
    <row r="484" s="1" customFormat="1" spans="1:4">
      <c r="A484" s="1" t="s">
        <v>1163</v>
      </c>
      <c r="B484" s="1">
        <v>1442</v>
      </c>
      <c r="C484" s="1">
        <v>0</v>
      </c>
      <c r="D484" s="1" t="s">
        <v>19</v>
      </c>
    </row>
    <row r="485" s="1" customFormat="1" spans="1:4">
      <c r="A485" s="1" t="s">
        <v>1164</v>
      </c>
      <c r="B485" s="1">
        <v>580</v>
      </c>
      <c r="C485" s="1">
        <v>0</v>
      </c>
      <c r="D485" s="1" t="s">
        <v>19</v>
      </c>
    </row>
    <row r="486" s="1" customFormat="1" spans="1:4">
      <c r="A486" s="1" t="s">
        <v>1165</v>
      </c>
      <c r="B486" s="1">
        <v>1047</v>
      </c>
      <c r="C486" s="1">
        <v>0</v>
      </c>
      <c r="D486" s="1" t="s">
        <v>18</v>
      </c>
    </row>
    <row r="487" s="1" customFormat="1" spans="1:4">
      <c r="A487" s="1" t="s">
        <v>1166</v>
      </c>
      <c r="B487" s="1">
        <v>31</v>
      </c>
      <c r="C487" s="1">
        <v>0</v>
      </c>
      <c r="D487" s="1" t="s">
        <v>18</v>
      </c>
    </row>
    <row r="488" s="1" customFormat="1" spans="1:4">
      <c r="A488" s="1" t="s">
        <v>1167</v>
      </c>
      <c r="B488" s="1">
        <v>650</v>
      </c>
      <c r="C488" s="1">
        <v>0</v>
      </c>
      <c r="D488" s="1" t="s">
        <v>18</v>
      </c>
    </row>
    <row r="489" s="1" customFormat="1" spans="1:4">
      <c r="A489" s="1" t="s">
        <v>1168</v>
      </c>
      <c r="B489" s="1">
        <v>1065</v>
      </c>
      <c r="C489" s="1">
        <v>0</v>
      </c>
      <c r="D489" s="1" t="s">
        <v>19</v>
      </c>
    </row>
    <row r="490" s="1" customFormat="1" spans="1:4">
      <c r="A490" s="1" t="s">
        <v>1169</v>
      </c>
      <c r="B490" s="1">
        <v>913</v>
      </c>
      <c r="C490" s="1">
        <v>0</v>
      </c>
      <c r="D490" s="1" t="s">
        <v>18</v>
      </c>
    </row>
    <row r="491" s="1" customFormat="1" spans="1:4">
      <c r="A491" s="1" t="s">
        <v>1170</v>
      </c>
      <c r="B491" s="1">
        <v>334</v>
      </c>
      <c r="C491" s="1">
        <v>1</v>
      </c>
      <c r="D491" s="1" t="s">
        <v>18</v>
      </c>
    </row>
    <row r="492" s="1" customFormat="1" spans="1:4">
      <c r="A492" s="1" t="s">
        <v>1171</v>
      </c>
      <c r="B492" s="1">
        <v>1133</v>
      </c>
      <c r="C492" s="1">
        <v>0</v>
      </c>
      <c r="D492" s="1" t="s">
        <v>18</v>
      </c>
    </row>
    <row r="493" s="1" customFormat="1" spans="1:4">
      <c r="A493" s="1" t="s">
        <v>1172</v>
      </c>
      <c r="B493" s="1">
        <v>494</v>
      </c>
      <c r="C493" s="1">
        <v>1</v>
      </c>
      <c r="D493" s="1" t="s">
        <v>18</v>
      </c>
    </row>
    <row r="494" s="1" customFormat="1" spans="1:4">
      <c r="A494" s="1" t="s">
        <v>1173</v>
      </c>
      <c r="B494" s="1">
        <v>43</v>
      </c>
      <c r="C494" s="1">
        <v>1</v>
      </c>
      <c r="D494" s="1" t="s">
        <v>18</v>
      </c>
    </row>
    <row r="495" s="1" customFormat="1" spans="1:4">
      <c r="A495" s="1" t="s">
        <v>1174</v>
      </c>
      <c r="B495" s="1">
        <v>388</v>
      </c>
      <c r="C495" s="1">
        <v>0</v>
      </c>
      <c r="D495" s="1" t="s">
        <v>18</v>
      </c>
    </row>
    <row r="496" s="1" customFormat="1" spans="1:4">
      <c r="A496" s="1" t="s">
        <v>1175</v>
      </c>
      <c r="B496" s="1">
        <v>730</v>
      </c>
      <c r="C496" s="1">
        <v>0</v>
      </c>
      <c r="D496" s="1" t="s">
        <v>18</v>
      </c>
    </row>
    <row r="497" s="1" customFormat="1" spans="1:4">
      <c r="A497" s="1" t="s">
        <v>1176</v>
      </c>
      <c r="B497" s="1">
        <v>1087</v>
      </c>
      <c r="C497" s="1">
        <v>0</v>
      </c>
      <c r="D497" s="1" t="s">
        <v>18</v>
      </c>
    </row>
    <row r="498" s="1" customFormat="1" spans="1:4">
      <c r="A498" s="1" t="s">
        <v>1177</v>
      </c>
      <c r="B498" s="1">
        <v>1111</v>
      </c>
      <c r="C498" s="1">
        <v>0</v>
      </c>
      <c r="D498" s="1" t="s">
        <v>18</v>
      </c>
    </row>
    <row r="499" s="1" customFormat="1" spans="1:4">
      <c r="A499" s="1" t="s">
        <v>1178</v>
      </c>
      <c r="B499" s="1">
        <v>685</v>
      </c>
      <c r="C499" s="1">
        <v>0</v>
      </c>
      <c r="D499" s="1" t="s">
        <v>18</v>
      </c>
    </row>
    <row r="500" s="1" customFormat="1" spans="1:4">
      <c r="A500" s="1" t="s">
        <v>1179</v>
      </c>
      <c r="B500" s="1">
        <v>2268</v>
      </c>
      <c r="C500" s="1">
        <v>0</v>
      </c>
      <c r="D500" s="1" t="s">
        <v>18</v>
      </c>
    </row>
    <row r="501" s="1" customFormat="1" spans="1:4">
      <c r="A501" s="1" t="s">
        <v>1180</v>
      </c>
      <c r="B501" s="1">
        <v>943</v>
      </c>
      <c r="C501" s="1">
        <v>0</v>
      </c>
      <c r="D501" s="1" t="s">
        <v>18</v>
      </c>
    </row>
    <row r="502" s="1" customFormat="1" spans="1:4">
      <c r="A502" s="1" t="s">
        <v>1181</v>
      </c>
      <c r="B502" s="1">
        <v>1014</v>
      </c>
      <c r="C502" s="1">
        <v>0</v>
      </c>
      <c r="D502" s="1" t="s">
        <v>18</v>
      </c>
    </row>
    <row r="503" s="1" customFormat="1" spans="1:4">
      <c r="A503" s="1" t="s">
        <v>1182</v>
      </c>
      <c r="B503" s="1">
        <v>578</v>
      </c>
      <c r="C503" s="1">
        <v>0</v>
      </c>
      <c r="D503" s="1" t="s">
        <v>18</v>
      </c>
    </row>
    <row r="504" s="1" customFormat="1" spans="1:4">
      <c r="A504" s="1" t="s">
        <v>1183</v>
      </c>
      <c r="B504" s="1">
        <v>614</v>
      </c>
      <c r="C504" s="1">
        <v>0</v>
      </c>
      <c r="D504" s="1" t="s">
        <v>18</v>
      </c>
    </row>
    <row r="505" s="1" customFormat="1" spans="1:4">
      <c r="A505" s="1" t="s">
        <v>1184</v>
      </c>
      <c r="B505" s="1">
        <v>176</v>
      </c>
      <c r="C505" s="1">
        <v>1</v>
      </c>
      <c r="D505" s="1" t="s">
        <v>18</v>
      </c>
    </row>
    <row r="506" s="1" customFormat="1" spans="1:4">
      <c r="A506" s="1" t="s">
        <v>1185</v>
      </c>
      <c r="B506" s="1">
        <v>1419</v>
      </c>
      <c r="C506" s="1">
        <v>0</v>
      </c>
      <c r="D506" s="1" t="s">
        <v>18</v>
      </c>
    </row>
    <row r="507" s="1" customFormat="1" spans="1:4">
      <c r="A507" s="1" t="s">
        <v>1186</v>
      </c>
      <c r="B507" s="1">
        <v>1005</v>
      </c>
      <c r="C507" s="1">
        <v>0</v>
      </c>
      <c r="D507" s="1" t="s">
        <v>18</v>
      </c>
    </row>
    <row r="508" s="1" customFormat="1" spans="1:4">
      <c r="A508" s="1" t="s">
        <v>1187</v>
      </c>
      <c r="B508" s="1">
        <v>824</v>
      </c>
      <c r="C508" s="1">
        <v>0</v>
      </c>
      <c r="D508" s="1" t="s">
        <v>18</v>
      </c>
    </row>
    <row r="509" s="1" customFormat="1" spans="1:4">
      <c r="A509" s="1" t="s">
        <v>1188</v>
      </c>
      <c r="B509" s="1">
        <v>643</v>
      </c>
      <c r="C509" s="1">
        <v>1</v>
      </c>
      <c r="D509" s="1" t="s">
        <v>18</v>
      </c>
    </row>
    <row r="510" s="1" customFormat="1" spans="1:4">
      <c r="A510" s="1" t="s">
        <v>1189</v>
      </c>
      <c r="B510" s="1">
        <v>474</v>
      </c>
      <c r="C510" s="1">
        <v>0</v>
      </c>
      <c r="D510" s="1" t="s">
        <v>18</v>
      </c>
    </row>
    <row r="511" s="1" customFormat="1" spans="1:4">
      <c r="A511" s="1" t="s">
        <v>1190</v>
      </c>
      <c r="B511" s="1">
        <v>1321</v>
      </c>
      <c r="C511" s="1">
        <v>0</v>
      </c>
      <c r="D511" s="1" t="s">
        <v>18</v>
      </c>
    </row>
    <row r="512" s="1" customFormat="1" spans="1:4">
      <c r="A512" s="1" t="s">
        <v>1191</v>
      </c>
      <c r="B512" s="1">
        <v>435</v>
      </c>
      <c r="C512" s="1">
        <v>0</v>
      </c>
      <c r="D512" s="1" t="s">
        <v>18</v>
      </c>
    </row>
    <row r="513" s="1" customFormat="1" spans="1:4">
      <c r="A513" s="1" t="s">
        <v>1192</v>
      </c>
      <c r="B513" s="1">
        <v>1127</v>
      </c>
      <c r="C513" s="1">
        <v>0</v>
      </c>
      <c r="D513" s="1" t="s">
        <v>18</v>
      </c>
    </row>
    <row r="514" s="1" customFormat="1" spans="1:4">
      <c r="A514" s="1" t="s">
        <v>1193</v>
      </c>
      <c r="B514" s="1">
        <v>275</v>
      </c>
      <c r="C514" s="1">
        <v>0</v>
      </c>
      <c r="D514" s="1" t="s">
        <v>18</v>
      </c>
    </row>
    <row r="515" s="1" customFormat="1" spans="1:4">
      <c r="A515" s="1" t="s">
        <v>1194</v>
      </c>
      <c r="B515" s="1">
        <v>159</v>
      </c>
      <c r="C515" s="1">
        <v>1</v>
      </c>
      <c r="D515" s="1" t="s">
        <v>18</v>
      </c>
    </row>
    <row r="516" s="1" customFormat="1" spans="1:4">
      <c r="A516" s="1" t="s">
        <v>1195</v>
      </c>
      <c r="B516" s="1">
        <v>1701</v>
      </c>
      <c r="C516" s="1">
        <v>0</v>
      </c>
      <c r="D516" s="1" t="s">
        <v>18</v>
      </c>
    </row>
    <row r="517" s="1" customFormat="1" spans="1:4">
      <c r="A517" s="1" t="s">
        <v>1196</v>
      </c>
      <c r="B517" s="1">
        <v>1158</v>
      </c>
      <c r="C517" s="1">
        <v>1</v>
      </c>
      <c r="D517" s="1" t="s">
        <v>18</v>
      </c>
    </row>
    <row r="518" s="1" customFormat="1" spans="1:4">
      <c r="A518" s="1" t="s">
        <v>1197</v>
      </c>
      <c r="B518" s="1">
        <v>2134</v>
      </c>
      <c r="C518" s="1">
        <v>1</v>
      </c>
      <c r="D518" s="1" t="s">
        <v>18</v>
      </c>
    </row>
    <row r="519" s="1" customFormat="1" spans="1:4">
      <c r="A519" s="1" t="s">
        <v>1198</v>
      </c>
      <c r="B519" s="1">
        <v>621</v>
      </c>
      <c r="C519" s="1">
        <v>0</v>
      </c>
      <c r="D519" s="1" t="s">
        <v>18</v>
      </c>
    </row>
    <row r="520" s="1" customFormat="1" spans="1:4">
      <c r="A520" s="1" t="s">
        <v>1199</v>
      </c>
      <c r="B520" s="1">
        <v>30</v>
      </c>
      <c r="C520" s="1">
        <v>0</v>
      </c>
      <c r="D520" s="1" t="s">
        <v>19</v>
      </c>
    </row>
    <row r="521" s="1" customFormat="1" spans="1:4">
      <c r="A521" s="1" t="s">
        <v>1200</v>
      </c>
      <c r="B521" s="1">
        <v>1002</v>
      </c>
      <c r="C521" s="1">
        <v>0</v>
      </c>
      <c r="D521" s="1" t="s">
        <v>19</v>
      </c>
    </row>
    <row r="522" s="1" customFormat="1" spans="1:4">
      <c r="A522" s="1" t="s">
        <v>1201</v>
      </c>
      <c r="B522" s="1">
        <v>791</v>
      </c>
      <c r="C522" s="1">
        <v>0</v>
      </c>
      <c r="D522" s="1" t="s">
        <v>18</v>
      </c>
    </row>
    <row r="523" s="1" customFormat="1" spans="1:4">
      <c r="A523" s="1" t="s">
        <v>1202</v>
      </c>
      <c r="B523" s="1">
        <v>1126</v>
      </c>
      <c r="C523" s="1">
        <v>1</v>
      </c>
      <c r="D523" s="1" t="s">
        <v>18</v>
      </c>
    </row>
    <row r="524" s="1" customFormat="1" spans="1:4">
      <c r="A524" s="1" t="s">
        <v>1203</v>
      </c>
      <c r="B524" s="1">
        <v>61</v>
      </c>
      <c r="C524" s="1">
        <v>0</v>
      </c>
      <c r="D524" s="1" t="s">
        <v>18</v>
      </c>
    </row>
    <row r="525" s="1" customFormat="1" spans="1:4">
      <c r="A525" s="1" t="s">
        <v>1204</v>
      </c>
      <c r="B525" s="1">
        <v>884</v>
      </c>
      <c r="C525" s="1">
        <v>0</v>
      </c>
      <c r="D525" s="1" t="s">
        <v>18</v>
      </c>
    </row>
    <row r="526" s="1" customFormat="1" spans="1:4">
      <c r="A526" s="1" t="s">
        <v>1205</v>
      </c>
      <c r="B526" s="1">
        <v>915</v>
      </c>
      <c r="C526" s="1">
        <v>0</v>
      </c>
      <c r="D526" s="1" t="s">
        <v>18</v>
      </c>
    </row>
    <row r="527" s="1" customFormat="1" spans="1:4">
      <c r="A527" s="1" t="s">
        <v>1206</v>
      </c>
      <c r="B527" s="1">
        <v>662</v>
      </c>
      <c r="C527" s="1">
        <v>0</v>
      </c>
      <c r="D527" s="1" t="s">
        <v>18</v>
      </c>
    </row>
    <row r="528" s="1" customFormat="1" spans="1:4">
      <c r="A528" s="1" t="s">
        <v>1207</v>
      </c>
      <c r="B528" s="1">
        <v>214</v>
      </c>
      <c r="C528" s="1">
        <v>1</v>
      </c>
      <c r="D528" s="1" t="s">
        <v>18</v>
      </c>
    </row>
    <row r="529" s="1" customFormat="1" spans="1:4">
      <c r="A529" s="1" t="s">
        <v>1208</v>
      </c>
      <c r="B529" s="1">
        <v>699</v>
      </c>
      <c r="C529" s="1">
        <v>0</v>
      </c>
      <c r="D529" s="1" t="s">
        <v>18</v>
      </c>
    </row>
    <row r="530" s="1" customFormat="1" spans="1:4">
      <c r="A530" s="1" t="s">
        <v>1209</v>
      </c>
      <c r="B530" s="1">
        <v>726</v>
      </c>
      <c r="C530" s="1">
        <v>0</v>
      </c>
      <c r="D530" s="1" t="s">
        <v>18</v>
      </c>
    </row>
    <row r="531" s="1" customFormat="1" spans="1:4">
      <c r="A531" s="1" t="s">
        <v>1210</v>
      </c>
      <c r="B531" s="1">
        <v>188</v>
      </c>
      <c r="C531" s="1">
        <v>1</v>
      </c>
      <c r="D531" s="1" t="s">
        <v>18</v>
      </c>
    </row>
    <row r="532" s="1" customFormat="1" spans="1:4">
      <c r="A532" s="1" t="s">
        <v>1211</v>
      </c>
      <c r="B532" s="1">
        <v>598</v>
      </c>
      <c r="C532" s="1">
        <v>0</v>
      </c>
      <c r="D532" s="1" t="s">
        <v>18</v>
      </c>
    </row>
    <row r="533" s="1" customFormat="1" spans="1:4">
      <c r="A533" s="1" t="s">
        <v>1212</v>
      </c>
      <c r="B533" s="1">
        <v>396</v>
      </c>
      <c r="C533" s="1">
        <v>0</v>
      </c>
      <c r="D533" s="1" t="s">
        <v>18</v>
      </c>
    </row>
    <row r="534" s="1" customFormat="1" spans="1:4">
      <c r="A534" s="1" t="s">
        <v>1213</v>
      </c>
      <c r="B534" s="1">
        <v>395</v>
      </c>
      <c r="C534" s="1">
        <v>0</v>
      </c>
      <c r="D534" s="1" t="s">
        <v>18</v>
      </c>
    </row>
    <row r="535" s="1" customFormat="1" spans="1:4">
      <c r="A535" s="1" t="s">
        <v>1214</v>
      </c>
      <c r="B535" s="1">
        <v>365</v>
      </c>
      <c r="C535" s="1">
        <v>0</v>
      </c>
      <c r="D535" s="1" t="s">
        <v>18</v>
      </c>
    </row>
    <row r="536" s="1" customFormat="1" spans="1:4">
      <c r="A536" s="1" t="s">
        <v>1215</v>
      </c>
      <c r="B536" s="1">
        <v>1661</v>
      </c>
      <c r="C536" s="1">
        <v>1</v>
      </c>
      <c r="D536" s="1" t="s">
        <v>18</v>
      </c>
    </row>
    <row r="537" s="1" customFormat="1" spans="1:4">
      <c r="A537" s="1" t="s">
        <v>1216</v>
      </c>
      <c r="B537" s="1">
        <v>518</v>
      </c>
      <c r="C537" s="1">
        <v>0</v>
      </c>
      <c r="D537" s="1" t="s">
        <v>18</v>
      </c>
    </row>
    <row r="538" s="1" customFormat="1" spans="1:4">
      <c r="A538" s="1" t="s">
        <v>1217</v>
      </c>
      <c r="B538" s="1">
        <v>758</v>
      </c>
      <c r="C538" s="1">
        <v>1</v>
      </c>
      <c r="D538" s="1" t="s">
        <v>18</v>
      </c>
    </row>
    <row r="539" s="1" customFormat="1" spans="1:4">
      <c r="A539" s="1" t="s">
        <v>1218</v>
      </c>
      <c r="B539" s="1">
        <v>821</v>
      </c>
      <c r="C539" s="1">
        <v>0</v>
      </c>
      <c r="D539" s="1" t="s">
        <v>18</v>
      </c>
    </row>
    <row r="540" s="1" customFormat="1" spans="1:4">
      <c r="A540" s="1" t="s">
        <v>1219</v>
      </c>
      <c r="B540" s="1">
        <v>331</v>
      </c>
      <c r="C540" s="1">
        <v>1</v>
      </c>
      <c r="D540" s="1" t="s">
        <v>18</v>
      </c>
    </row>
    <row r="541" s="1" customFormat="1" spans="1:4">
      <c r="A541" s="1" t="s">
        <v>1220</v>
      </c>
      <c r="B541" s="1">
        <v>290</v>
      </c>
      <c r="C541" s="1">
        <v>1</v>
      </c>
      <c r="D541" s="1" t="s">
        <v>18</v>
      </c>
    </row>
    <row r="542" s="1" customFormat="1" spans="1:4">
      <c r="A542" s="1" t="s">
        <v>1221</v>
      </c>
      <c r="B542" s="1">
        <v>2424</v>
      </c>
      <c r="C542" s="1">
        <v>0</v>
      </c>
      <c r="D542" s="1" t="s">
        <v>18</v>
      </c>
    </row>
    <row r="543" s="1" customFormat="1" spans="1:4">
      <c r="A543" s="1" t="s">
        <v>1222</v>
      </c>
      <c r="B543" s="1">
        <v>30</v>
      </c>
      <c r="C543" s="1">
        <v>0</v>
      </c>
      <c r="D543" s="1" t="s">
        <v>18</v>
      </c>
    </row>
    <row r="544" s="1" customFormat="1" spans="1:4">
      <c r="A544" s="1" t="s">
        <v>1223</v>
      </c>
      <c r="B544" s="1">
        <v>287</v>
      </c>
      <c r="C544" s="1">
        <v>0</v>
      </c>
      <c r="D544" s="1" t="s">
        <v>18</v>
      </c>
    </row>
    <row r="545" s="1" customFormat="1" spans="1:4">
      <c r="A545" s="1" t="s">
        <v>1224</v>
      </c>
      <c r="B545" s="1">
        <v>1305</v>
      </c>
      <c r="C545" s="1">
        <v>1</v>
      </c>
      <c r="D545" s="1" t="s">
        <v>18</v>
      </c>
    </row>
    <row r="546" s="1" customFormat="1" spans="1:4">
      <c r="A546" s="1" t="s">
        <v>1225</v>
      </c>
      <c r="B546" s="1">
        <v>670</v>
      </c>
      <c r="C546" s="1">
        <v>1</v>
      </c>
      <c r="D546" s="1" t="s">
        <v>18</v>
      </c>
    </row>
    <row r="547" s="1" customFormat="1" spans="1:4">
      <c r="A547" s="1" t="s">
        <v>1226</v>
      </c>
      <c r="B547" s="1">
        <v>996</v>
      </c>
      <c r="C547" s="1">
        <v>0</v>
      </c>
      <c r="D547" s="1" t="s">
        <v>18</v>
      </c>
    </row>
    <row r="548" s="1" customFormat="1" spans="1:4">
      <c r="A548" s="1" t="s">
        <v>1227</v>
      </c>
      <c r="B548" s="1">
        <v>306</v>
      </c>
      <c r="C548" s="1">
        <v>1</v>
      </c>
      <c r="D548" s="1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万翔</cp:lastModifiedBy>
  <dcterms:created xsi:type="dcterms:W3CDTF">2025-11-16T13:50:35Z</dcterms:created>
  <dcterms:modified xsi:type="dcterms:W3CDTF">2025-11-16T13:51:36Z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DF7A9CEBC562402186B024CA4C25C3DD_11</vt:lpwstr>
  </property>
  <property fmtid="{D5CDD505-2E9C-101B-9397-08002B2CF9AE}" pid="3" name="KSOProductBuildVer">
    <vt:lpwstr>2052-12.1.0.23542</vt:lpwstr>
  </property>
</Properties>
</file>